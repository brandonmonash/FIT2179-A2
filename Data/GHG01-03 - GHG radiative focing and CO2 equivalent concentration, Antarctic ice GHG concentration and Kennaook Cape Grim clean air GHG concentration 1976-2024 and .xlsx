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loh017_csiro_au/Documents/Documents/State of the Climate or Env Reports/SotC2024/"/>
    </mc:Choice>
  </mc:AlternateContent>
  <xr:revisionPtr revIDLastSave="0" documentId="8_{D4337AD2-6CD5-4EAD-AB2E-544CF96B320F}" xr6:coauthVersionLast="47" xr6:coauthVersionMax="47" xr10:uidLastSave="{00000000-0000-0000-0000-000000000000}"/>
  <bookViews>
    <workbookView xWindow="21480" yWindow="-75" windowWidth="38640" windowHeight="21240" activeTab="4" xr2:uid="{00000000-000D-0000-FFFF-FFFF00000000}"/>
  </bookViews>
  <sheets>
    <sheet name="k-cgo_CO2" sheetId="1" r:id="rId1"/>
    <sheet name="k-cgo_CH4" sheetId="3" r:id="rId2"/>
    <sheet name="k-cgo_N2O" sheetId="4" r:id="rId3"/>
    <sheet name="global_rf_CO2-e" sheetId="6" r:id="rId4"/>
    <sheet name="Antarctic" sheetId="7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1" i="7" l="1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D323" i="7"/>
  <c r="C323" i="7"/>
  <c r="B323" i="7"/>
  <c r="A323" i="7"/>
  <c r="D322" i="7"/>
  <c r="C322" i="7"/>
  <c r="B322" i="7"/>
  <c r="A322" i="7"/>
  <c r="D321" i="7"/>
  <c r="C321" i="7"/>
  <c r="B321" i="7"/>
  <c r="A321" i="7"/>
  <c r="D320" i="7"/>
  <c r="C320" i="7"/>
  <c r="B320" i="7"/>
  <c r="A320" i="7"/>
  <c r="D319" i="7"/>
  <c r="C319" i="7"/>
  <c r="B319" i="7"/>
  <c r="A319" i="7"/>
  <c r="D318" i="7"/>
  <c r="C318" i="7"/>
  <c r="B318" i="7"/>
  <c r="A318" i="7"/>
  <c r="D317" i="7"/>
  <c r="C317" i="7"/>
  <c r="B317" i="7"/>
  <c r="A317" i="7"/>
  <c r="D316" i="7"/>
  <c r="C316" i="7"/>
  <c r="B316" i="7"/>
  <c r="A316" i="7"/>
  <c r="D315" i="7"/>
  <c r="C315" i="7"/>
  <c r="B315" i="7"/>
  <c r="A315" i="7"/>
  <c r="D314" i="7"/>
  <c r="C314" i="7"/>
  <c r="B314" i="7"/>
  <c r="A314" i="7"/>
  <c r="D313" i="7"/>
  <c r="C313" i="7"/>
  <c r="B313" i="7"/>
  <c r="A313" i="7"/>
  <c r="D312" i="7"/>
  <c r="C312" i="7"/>
  <c r="B312" i="7"/>
  <c r="A312" i="7"/>
  <c r="D311" i="7"/>
  <c r="C311" i="7"/>
  <c r="B311" i="7"/>
  <c r="A311" i="7"/>
  <c r="D310" i="7"/>
  <c r="C310" i="7"/>
  <c r="B310" i="7"/>
  <c r="A310" i="7"/>
  <c r="D309" i="7"/>
  <c r="C309" i="7"/>
  <c r="B309" i="7"/>
  <c r="A309" i="7"/>
  <c r="D308" i="7"/>
  <c r="C308" i="7"/>
  <c r="B308" i="7"/>
  <c r="A308" i="7"/>
  <c r="D307" i="7"/>
  <c r="C307" i="7"/>
  <c r="B307" i="7"/>
  <c r="A307" i="7"/>
  <c r="D306" i="7"/>
  <c r="C306" i="7"/>
  <c r="B306" i="7"/>
  <c r="A306" i="7"/>
  <c r="D305" i="7"/>
  <c r="C305" i="7"/>
  <c r="B305" i="7"/>
  <c r="A305" i="7"/>
  <c r="D304" i="7"/>
  <c r="C304" i="7"/>
  <c r="B304" i="7"/>
  <c r="A304" i="7"/>
  <c r="D303" i="7"/>
  <c r="C303" i="7"/>
  <c r="B303" i="7"/>
  <c r="A303" i="7"/>
  <c r="D302" i="7"/>
  <c r="C302" i="7"/>
  <c r="B302" i="7"/>
  <c r="A302" i="7"/>
  <c r="D301" i="7"/>
  <c r="C301" i="7"/>
  <c r="B301" i="7"/>
  <c r="A301" i="7"/>
  <c r="D300" i="7"/>
  <c r="C300" i="7"/>
  <c r="B300" i="7"/>
  <c r="A300" i="7"/>
  <c r="D299" i="7"/>
  <c r="C299" i="7"/>
  <c r="B299" i="7"/>
  <c r="A299" i="7"/>
  <c r="D298" i="7"/>
  <c r="C298" i="7"/>
  <c r="B298" i="7"/>
  <c r="A298" i="7"/>
  <c r="D297" i="7"/>
  <c r="C297" i="7"/>
  <c r="B297" i="7"/>
  <c r="A297" i="7"/>
  <c r="D296" i="7"/>
  <c r="C296" i="7"/>
  <c r="B296" i="7"/>
  <c r="A296" i="7"/>
  <c r="D295" i="7"/>
  <c r="C295" i="7"/>
  <c r="B295" i="7"/>
  <c r="A295" i="7"/>
  <c r="D294" i="7"/>
  <c r="C294" i="7"/>
  <c r="B294" i="7"/>
  <c r="A294" i="7"/>
  <c r="D293" i="7"/>
  <c r="C293" i="7"/>
  <c r="B293" i="7"/>
  <c r="A293" i="7"/>
  <c r="D292" i="7"/>
  <c r="C292" i="7"/>
  <c r="B292" i="7"/>
  <c r="A292" i="7"/>
  <c r="D291" i="7"/>
  <c r="C291" i="7"/>
  <c r="B291" i="7"/>
  <c r="A291" i="7"/>
  <c r="D290" i="7"/>
  <c r="C290" i="7"/>
  <c r="B290" i="7"/>
  <c r="A290" i="7"/>
  <c r="D289" i="7"/>
  <c r="C289" i="7"/>
  <c r="B289" i="7"/>
  <c r="A289" i="7"/>
  <c r="D288" i="7"/>
  <c r="C288" i="7"/>
  <c r="B288" i="7"/>
  <c r="A288" i="7"/>
  <c r="D287" i="7"/>
  <c r="C287" i="7"/>
  <c r="B287" i="7"/>
  <c r="A287" i="7"/>
  <c r="D286" i="7"/>
  <c r="C286" i="7"/>
  <c r="B286" i="7"/>
  <c r="A286" i="7"/>
  <c r="D285" i="7"/>
  <c r="C285" i="7"/>
  <c r="B285" i="7"/>
  <c r="A285" i="7"/>
  <c r="D284" i="7"/>
  <c r="C284" i="7"/>
  <c r="B284" i="7"/>
  <c r="A284" i="7"/>
  <c r="D283" i="7"/>
  <c r="C283" i="7"/>
  <c r="B283" i="7"/>
  <c r="A283" i="7"/>
  <c r="D282" i="7"/>
  <c r="C282" i="7"/>
  <c r="B282" i="7"/>
  <c r="A282" i="7"/>
  <c r="D281" i="7"/>
  <c r="C281" i="7"/>
  <c r="B281" i="7"/>
  <c r="A281" i="7"/>
  <c r="D280" i="7"/>
  <c r="C280" i="7"/>
  <c r="B280" i="7"/>
  <c r="A280" i="7"/>
  <c r="D279" i="7"/>
  <c r="C279" i="7"/>
  <c r="B279" i="7"/>
  <c r="A279" i="7"/>
  <c r="D278" i="7"/>
  <c r="C278" i="7"/>
  <c r="B278" i="7"/>
  <c r="A278" i="7"/>
  <c r="D277" i="7"/>
  <c r="C277" i="7"/>
  <c r="B277" i="7"/>
  <c r="A277" i="7"/>
  <c r="D276" i="7"/>
  <c r="C276" i="7"/>
  <c r="B276" i="7"/>
  <c r="A276" i="7"/>
  <c r="D275" i="7"/>
  <c r="C275" i="7"/>
  <c r="B275" i="7"/>
  <c r="A275" i="7"/>
  <c r="D274" i="7"/>
  <c r="C274" i="7"/>
  <c r="B274" i="7"/>
  <c r="A274" i="7"/>
  <c r="D273" i="7"/>
  <c r="C273" i="7"/>
  <c r="B273" i="7"/>
  <c r="A273" i="7"/>
  <c r="D272" i="7"/>
  <c r="C272" i="7"/>
  <c r="B272" i="7"/>
  <c r="A272" i="7"/>
  <c r="D271" i="7"/>
  <c r="C271" i="7"/>
  <c r="B271" i="7"/>
  <c r="A271" i="7"/>
  <c r="D270" i="7"/>
  <c r="C270" i="7"/>
  <c r="B270" i="7"/>
  <c r="A270" i="7"/>
  <c r="D269" i="7"/>
  <c r="C269" i="7"/>
  <c r="B269" i="7"/>
  <c r="A269" i="7"/>
  <c r="D268" i="7"/>
  <c r="C268" i="7"/>
  <c r="B268" i="7"/>
  <c r="A268" i="7"/>
  <c r="D267" i="7"/>
  <c r="C267" i="7"/>
  <c r="B267" i="7"/>
  <c r="A267" i="7"/>
  <c r="D266" i="7"/>
  <c r="C266" i="7"/>
  <c r="B266" i="7"/>
  <c r="A266" i="7"/>
  <c r="D265" i="7"/>
  <c r="C265" i="7"/>
  <c r="B265" i="7"/>
  <c r="A265" i="7"/>
  <c r="D264" i="7"/>
  <c r="C264" i="7"/>
  <c r="B264" i="7"/>
  <c r="A264" i="7"/>
  <c r="D263" i="7"/>
  <c r="C263" i="7"/>
  <c r="B263" i="7"/>
  <c r="A263" i="7"/>
  <c r="D262" i="7"/>
  <c r="C262" i="7"/>
  <c r="B262" i="7"/>
  <c r="A262" i="7"/>
  <c r="D261" i="7"/>
  <c r="C261" i="7"/>
  <c r="B261" i="7"/>
  <c r="A261" i="7"/>
  <c r="D260" i="7"/>
  <c r="C260" i="7"/>
  <c r="B260" i="7"/>
  <c r="A260" i="7"/>
  <c r="D259" i="7"/>
  <c r="C259" i="7"/>
  <c r="B259" i="7"/>
  <c r="A259" i="7"/>
  <c r="D258" i="7"/>
  <c r="C258" i="7"/>
  <c r="B258" i="7"/>
  <c r="A258" i="7"/>
  <c r="D257" i="7"/>
  <c r="C257" i="7"/>
  <c r="B257" i="7"/>
  <c r="A257" i="7"/>
  <c r="D256" i="7"/>
  <c r="C256" i="7"/>
  <c r="B256" i="7"/>
  <c r="A256" i="7"/>
  <c r="D255" i="7"/>
  <c r="C255" i="7"/>
  <c r="B255" i="7"/>
  <c r="A255" i="7"/>
  <c r="D254" i="7"/>
  <c r="C254" i="7"/>
  <c r="B254" i="7"/>
  <c r="A254" i="7"/>
  <c r="D253" i="7"/>
  <c r="C253" i="7"/>
  <c r="B253" i="7"/>
  <c r="A253" i="7"/>
  <c r="D252" i="7"/>
  <c r="C252" i="7"/>
  <c r="B252" i="7"/>
  <c r="A252" i="7"/>
  <c r="D251" i="7"/>
  <c r="C251" i="7"/>
  <c r="B251" i="7"/>
  <c r="A251" i="7"/>
  <c r="D250" i="7"/>
  <c r="C250" i="7"/>
  <c r="B250" i="7"/>
  <c r="A250" i="7"/>
  <c r="D249" i="7"/>
  <c r="C249" i="7"/>
  <c r="B249" i="7"/>
  <c r="A249" i="7"/>
  <c r="D248" i="7"/>
  <c r="C248" i="7"/>
  <c r="B248" i="7"/>
  <c r="A248" i="7"/>
  <c r="D247" i="7"/>
  <c r="C247" i="7"/>
  <c r="B247" i="7"/>
  <c r="A247" i="7"/>
  <c r="D246" i="7"/>
  <c r="C246" i="7"/>
  <c r="B246" i="7"/>
  <c r="A246" i="7"/>
  <c r="D245" i="7"/>
  <c r="C245" i="7"/>
  <c r="B245" i="7"/>
  <c r="A245" i="7"/>
  <c r="D244" i="7"/>
  <c r="C244" i="7"/>
  <c r="B244" i="7"/>
  <c r="A244" i="7"/>
  <c r="D243" i="7"/>
  <c r="C243" i="7"/>
  <c r="B243" i="7"/>
  <c r="A243" i="7"/>
  <c r="D242" i="7"/>
  <c r="C242" i="7"/>
  <c r="B242" i="7"/>
  <c r="A242" i="7"/>
  <c r="D241" i="7"/>
  <c r="C241" i="7"/>
  <c r="B241" i="7"/>
  <c r="A241" i="7"/>
  <c r="D240" i="7"/>
  <c r="C240" i="7"/>
  <c r="B240" i="7"/>
  <c r="A240" i="7"/>
  <c r="D239" i="7"/>
  <c r="C239" i="7"/>
  <c r="B239" i="7"/>
  <c r="A239" i="7"/>
  <c r="D238" i="7"/>
  <c r="C238" i="7"/>
  <c r="B238" i="7"/>
  <c r="A238" i="7"/>
  <c r="D237" i="7"/>
  <c r="C237" i="7"/>
  <c r="B237" i="7"/>
  <c r="A237" i="7"/>
  <c r="D236" i="7"/>
  <c r="C236" i="7"/>
  <c r="B236" i="7"/>
  <c r="A236" i="7"/>
  <c r="D235" i="7"/>
  <c r="C235" i="7"/>
  <c r="B235" i="7"/>
  <c r="A235" i="7"/>
  <c r="D234" i="7"/>
  <c r="C234" i="7"/>
  <c r="B234" i="7"/>
  <c r="A234" i="7"/>
  <c r="D233" i="7"/>
  <c r="C233" i="7"/>
  <c r="B233" i="7"/>
  <c r="A233" i="7"/>
  <c r="D232" i="7"/>
  <c r="C232" i="7"/>
  <c r="B232" i="7"/>
  <c r="A232" i="7"/>
  <c r="D231" i="7"/>
  <c r="C231" i="7"/>
  <c r="B231" i="7"/>
  <c r="A231" i="7"/>
  <c r="D230" i="7"/>
  <c r="C230" i="7"/>
  <c r="B230" i="7"/>
  <c r="A230" i="7"/>
  <c r="D229" i="7"/>
  <c r="C229" i="7"/>
  <c r="B229" i="7"/>
  <c r="A229" i="7"/>
  <c r="D228" i="7"/>
  <c r="C228" i="7"/>
  <c r="B228" i="7"/>
  <c r="A228" i="7"/>
  <c r="D227" i="7"/>
  <c r="C227" i="7"/>
  <c r="B227" i="7"/>
  <c r="A227" i="7"/>
  <c r="D226" i="7"/>
  <c r="C226" i="7"/>
  <c r="B226" i="7"/>
  <c r="A226" i="7"/>
  <c r="D225" i="7"/>
  <c r="C225" i="7"/>
  <c r="B225" i="7"/>
  <c r="A225" i="7"/>
  <c r="D224" i="7"/>
  <c r="C224" i="7"/>
  <c r="B224" i="7"/>
  <c r="A224" i="7"/>
  <c r="D223" i="7"/>
  <c r="C223" i="7"/>
  <c r="B223" i="7"/>
  <c r="A223" i="7"/>
  <c r="D222" i="7"/>
  <c r="C222" i="7"/>
  <c r="B222" i="7"/>
  <c r="A222" i="7"/>
  <c r="D221" i="7"/>
  <c r="C221" i="7"/>
  <c r="B221" i="7"/>
  <c r="A221" i="7"/>
  <c r="D220" i="7"/>
  <c r="C220" i="7"/>
  <c r="B220" i="7"/>
  <c r="A220" i="7"/>
  <c r="D219" i="7"/>
  <c r="C219" i="7"/>
  <c r="B219" i="7"/>
  <c r="A219" i="7"/>
  <c r="D218" i="7"/>
  <c r="C218" i="7"/>
  <c r="B218" i="7"/>
  <c r="A218" i="7"/>
  <c r="D217" i="7"/>
  <c r="C217" i="7"/>
  <c r="B217" i="7"/>
  <c r="A217" i="7"/>
  <c r="D216" i="7"/>
  <c r="C216" i="7"/>
  <c r="B216" i="7"/>
  <c r="A216" i="7"/>
  <c r="D215" i="7"/>
  <c r="C215" i="7"/>
  <c r="B215" i="7"/>
  <c r="A215" i="7"/>
  <c r="D214" i="7"/>
  <c r="C214" i="7"/>
  <c r="B214" i="7"/>
  <c r="A214" i="7"/>
  <c r="D213" i="7"/>
  <c r="C213" i="7"/>
  <c r="B213" i="7"/>
  <c r="A213" i="7"/>
  <c r="D212" i="7"/>
  <c r="C212" i="7"/>
  <c r="B212" i="7"/>
  <c r="A212" i="7"/>
  <c r="D211" i="7"/>
  <c r="C211" i="7"/>
  <c r="B211" i="7"/>
  <c r="A211" i="7"/>
  <c r="D210" i="7"/>
  <c r="C210" i="7"/>
  <c r="B210" i="7"/>
  <c r="A210" i="7"/>
  <c r="D209" i="7"/>
  <c r="C209" i="7"/>
  <c r="B209" i="7"/>
  <c r="A209" i="7"/>
  <c r="D208" i="7"/>
  <c r="C208" i="7"/>
  <c r="B208" i="7"/>
  <c r="A208" i="7"/>
  <c r="D207" i="7"/>
  <c r="C207" i="7"/>
  <c r="B207" i="7"/>
  <c r="A207" i="7"/>
  <c r="D206" i="7"/>
  <c r="C206" i="7"/>
  <c r="B206" i="7"/>
  <c r="A206" i="7"/>
  <c r="D205" i="7"/>
  <c r="C205" i="7"/>
  <c r="B205" i="7"/>
  <c r="A205" i="7"/>
  <c r="D204" i="7"/>
  <c r="C204" i="7"/>
  <c r="B204" i="7"/>
  <c r="A204" i="7"/>
  <c r="D203" i="7"/>
  <c r="C203" i="7"/>
  <c r="B203" i="7"/>
  <c r="A203" i="7"/>
  <c r="D202" i="7"/>
  <c r="C202" i="7"/>
  <c r="B202" i="7"/>
  <c r="A202" i="7"/>
  <c r="D201" i="7"/>
  <c r="C201" i="7"/>
  <c r="B201" i="7"/>
  <c r="A201" i="7"/>
  <c r="D200" i="7"/>
  <c r="C200" i="7"/>
  <c r="B200" i="7"/>
  <c r="A200" i="7"/>
  <c r="D199" i="7"/>
  <c r="C199" i="7"/>
  <c r="B199" i="7"/>
  <c r="A199" i="7"/>
  <c r="D198" i="7"/>
  <c r="C198" i="7"/>
  <c r="B198" i="7"/>
  <c r="A198" i="7"/>
  <c r="D197" i="7"/>
  <c r="C197" i="7"/>
  <c r="B197" i="7"/>
  <c r="A197" i="7"/>
  <c r="D196" i="7"/>
  <c r="C196" i="7"/>
  <c r="B196" i="7"/>
  <c r="A196" i="7"/>
  <c r="D195" i="7"/>
  <c r="C195" i="7"/>
  <c r="B195" i="7"/>
  <c r="A195" i="7"/>
  <c r="D194" i="7"/>
  <c r="C194" i="7"/>
  <c r="B194" i="7"/>
  <c r="A194" i="7"/>
  <c r="D193" i="7"/>
  <c r="C193" i="7"/>
  <c r="B193" i="7"/>
  <c r="A193" i="7"/>
  <c r="D192" i="7"/>
  <c r="C192" i="7"/>
  <c r="B192" i="7"/>
  <c r="A192" i="7"/>
  <c r="D191" i="7"/>
  <c r="C191" i="7"/>
  <c r="B191" i="7"/>
  <c r="A191" i="7"/>
  <c r="D190" i="7"/>
  <c r="C190" i="7"/>
  <c r="B190" i="7"/>
  <c r="A190" i="7"/>
  <c r="D189" i="7"/>
  <c r="C189" i="7"/>
  <c r="B189" i="7"/>
  <c r="A189" i="7"/>
  <c r="D188" i="7"/>
  <c r="C188" i="7"/>
  <c r="B188" i="7"/>
  <c r="A188" i="7"/>
  <c r="D187" i="7"/>
  <c r="C187" i="7"/>
  <c r="B187" i="7"/>
  <c r="A187" i="7"/>
  <c r="D186" i="7"/>
  <c r="C186" i="7"/>
  <c r="B186" i="7"/>
  <c r="A186" i="7"/>
  <c r="D185" i="7"/>
  <c r="C185" i="7"/>
  <c r="B185" i="7"/>
  <c r="A185" i="7"/>
  <c r="D184" i="7"/>
  <c r="C184" i="7"/>
  <c r="B184" i="7"/>
  <c r="A184" i="7"/>
  <c r="D183" i="7"/>
  <c r="C183" i="7"/>
  <c r="B183" i="7"/>
  <c r="A183" i="7"/>
  <c r="D182" i="7"/>
  <c r="C182" i="7"/>
  <c r="B182" i="7"/>
  <c r="A182" i="7"/>
  <c r="D181" i="7"/>
  <c r="C181" i="7"/>
  <c r="B181" i="7"/>
  <c r="A181" i="7"/>
  <c r="D180" i="7"/>
  <c r="C180" i="7"/>
  <c r="B180" i="7"/>
  <c r="A180" i="7"/>
  <c r="D179" i="7"/>
  <c r="C179" i="7"/>
  <c r="B179" i="7"/>
  <c r="A179" i="7"/>
  <c r="D178" i="7"/>
  <c r="C178" i="7"/>
  <c r="B178" i="7"/>
  <c r="A178" i="7"/>
  <c r="D177" i="7"/>
  <c r="C177" i="7"/>
  <c r="B177" i="7"/>
  <c r="A177" i="7"/>
  <c r="D176" i="7"/>
  <c r="C176" i="7"/>
  <c r="B176" i="7"/>
  <c r="A176" i="7"/>
  <c r="D175" i="7"/>
  <c r="C175" i="7"/>
  <c r="B175" i="7"/>
  <c r="A175" i="7"/>
  <c r="D174" i="7"/>
  <c r="C174" i="7"/>
  <c r="B174" i="7"/>
  <c r="A174" i="7"/>
  <c r="D173" i="7"/>
  <c r="C173" i="7"/>
  <c r="B173" i="7"/>
  <c r="A173" i="7"/>
  <c r="D172" i="7"/>
  <c r="C172" i="7"/>
  <c r="B172" i="7"/>
  <c r="A172" i="7"/>
  <c r="D171" i="7"/>
  <c r="C171" i="7"/>
  <c r="B171" i="7"/>
  <c r="A171" i="7"/>
  <c r="F170" i="7"/>
  <c r="E170" i="7"/>
  <c r="D170" i="7"/>
  <c r="C170" i="7"/>
  <c r="B170" i="7"/>
  <c r="A170" i="7"/>
  <c r="F169" i="7"/>
  <c r="E169" i="7"/>
  <c r="D169" i="7"/>
  <c r="C169" i="7"/>
  <c r="B169" i="7"/>
  <c r="A169" i="7"/>
  <c r="F168" i="7"/>
  <c r="E168" i="7"/>
  <c r="D168" i="7"/>
  <c r="C168" i="7"/>
  <c r="B168" i="7"/>
  <c r="A168" i="7"/>
  <c r="F167" i="7"/>
  <c r="E167" i="7"/>
  <c r="D167" i="7"/>
  <c r="C167" i="7"/>
  <c r="B167" i="7"/>
  <c r="A167" i="7"/>
  <c r="F166" i="7"/>
  <c r="E166" i="7"/>
  <c r="D166" i="7"/>
  <c r="C166" i="7"/>
  <c r="B166" i="7"/>
  <c r="A166" i="7"/>
  <c r="F165" i="7"/>
  <c r="E165" i="7"/>
  <c r="D165" i="7"/>
  <c r="C165" i="7"/>
  <c r="B165" i="7"/>
  <c r="A165" i="7"/>
  <c r="F164" i="7"/>
  <c r="E164" i="7"/>
  <c r="D164" i="7"/>
  <c r="C164" i="7"/>
  <c r="B164" i="7"/>
  <c r="A164" i="7"/>
  <c r="F163" i="7"/>
  <c r="E163" i="7"/>
  <c r="D163" i="7"/>
  <c r="C163" i="7"/>
  <c r="B163" i="7"/>
  <c r="A163" i="7"/>
  <c r="F162" i="7"/>
  <c r="E162" i="7"/>
  <c r="D162" i="7"/>
  <c r="C162" i="7"/>
  <c r="B162" i="7"/>
  <c r="A162" i="7"/>
  <c r="F161" i="7"/>
  <c r="E161" i="7"/>
  <c r="D161" i="7"/>
  <c r="C161" i="7"/>
  <c r="B161" i="7"/>
  <c r="A161" i="7"/>
  <c r="F160" i="7"/>
  <c r="E160" i="7"/>
  <c r="D160" i="7"/>
  <c r="C160" i="7"/>
  <c r="B160" i="7"/>
  <c r="A160" i="7"/>
  <c r="F159" i="7"/>
  <c r="E159" i="7"/>
  <c r="D159" i="7"/>
  <c r="C159" i="7"/>
  <c r="B159" i="7"/>
  <c r="A159" i="7"/>
  <c r="F158" i="7"/>
  <c r="E158" i="7"/>
  <c r="D158" i="7"/>
  <c r="C158" i="7"/>
  <c r="B158" i="7"/>
  <c r="A158" i="7"/>
  <c r="F157" i="7"/>
  <c r="E157" i="7"/>
  <c r="D157" i="7"/>
  <c r="C157" i="7"/>
  <c r="B157" i="7"/>
  <c r="A157" i="7"/>
  <c r="F156" i="7"/>
  <c r="E156" i="7"/>
  <c r="D156" i="7"/>
  <c r="C156" i="7"/>
  <c r="B156" i="7"/>
  <c r="A156" i="7"/>
  <c r="F155" i="7"/>
  <c r="E155" i="7"/>
  <c r="D155" i="7"/>
  <c r="C155" i="7"/>
  <c r="B155" i="7"/>
  <c r="A155" i="7"/>
  <c r="F154" i="7"/>
  <c r="E154" i="7"/>
  <c r="D154" i="7"/>
  <c r="C154" i="7"/>
  <c r="B154" i="7"/>
  <c r="A154" i="7"/>
  <c r="F153" i="7"/>
  <c r="E153" i="7"/>
  <c r="D153" i="7"/>
  <c r="C153" i="7"/>
  <c r="B153" i="7"/>
  <c r="A153" i="7"/>
  <c r="F152" i="7"/>
  <c r="E152" i="7"/>
  <c r="D152" i="7"/>
  <c r="C152" i="7"/>
  <c r="B152" i="7"/>
  <c r="A152" i="7"/>
  <c r="F151" i="7"/>
  <c r="E151" i="7"/>
  <c r="D151" i="7"/>
  <c r="C151" i="7"/>
  <c r="B151" i="7"/>
  <c r="A151" i="7"/>
  <c r="F150" i="7"/>
  <c r="E150" i="7"/>
  <c r="D150" i="7"/>
  <c r="C150" i="7"/>
  <c r="B150" i="7"/>
  <c r="A150" i="7"/>
  <c r="F149" i="7"/>
  <c r="E149" i="7"/>
  <c r="D149" i="7"/>
  <c r="C149" i="7"/>
  <c r="B149" i="7"/>
  <c r="A149" i="7"/>
  <c r="F148" i="7"/>
  <c r="E148" i="7"/>
  <c r="D148" i="7"/>
  <c r="C148" i="7"/>
  <c r="B148" i="7"/>
  <c r="A148" i="7"/>
  <c r="F147" i="7"/>
  <c r="E147" i="7"/>
  <c r="D147" i="7"/>
  <c r="C147" i="7"/>
  <c r="B147" i="7"/>
  <c r="A147" i="7"/>
  <c r="F146" i="7"/>
  <c r="E146" i="7"/>
  <c r="D146" i="7"/>
  <c r="C146" i="7"/>
  <c r="B146" i="7"/>
  <c r="A146" i="7"/>
  <c r="F145" i="7"/>
  <c r="E145" i="7"/>
  <c r="D145" i="7"/>
  <c r="C145" i="7"/>
  <c r="B145" i="7"/>
  <c r="A145" i="7"/>
  <c r="F144" i="7"/>
  <c r="E144" i="7"/>
  <c r="D144" i="7"/>
  <c r="C144" i="7"/>
  <c r="B144" i="7"/>
  <c r="A144" i="7"/>
  <c r="F143" i="7"/>
  <c r="E143" i="7"/>
  <c r="D143" i="7"/>
  <c r="C143" i="7"/>
  <c r="B143" i="7"/>
  <c r="A143" i="7"/>
  <c r="F142" i="7"/>
  <c r="E142" i="7"/>
  <c r="D142" i="7"/>
  <c r="C142" i="7"/>
  <c r="B142" i="7"/>
  <c r="A142" i="7"/>
  <c r="F141" i="7"/>
  <c r="E141" i="7"/>
  <c r="D141" i="7"/>
  <c r="C141" i="7"/>
  <c r="B141" i="7"/>
  <c r="A141" i="7"/>
  <c r="F140" i="7"/>
  <c r="E140" i="7"/>
  <c r="D140" i="7"/>
  <c r="C140" i="7"/>
  <c r="B140" i="7"/>
  <c r="A140" i="7"/>
  <c r="F139" i="7"/>
  <c r="E139" i="7"/>
  <c r="D139" i="7"/>
  <c r="C139" i="7"/>
  <c r="B139" i="7"/>
  <c r="A139" i="7"/>
  <c r="F138" i="7"/>
  <c r="E138" i="7"/>
  <c r="D138" i="7"/>
  <c r="C138" i="7"/>
  <c r="B138" i="7"/>
  <c r="A138" i="7"/>
  <c r="F137" i="7"/>
  <c r="E137" i="7"/>
  <c r="D137" i="7"/>
  <c r="C137" i="7"/>
  <c r="B137" i="7"/>
  <c r="A137" i="7"/>
  <c r="F136" i="7"/>
  <c r="E136" i="7"/>
  <c r="D136" i="7"/>
  <c r="C136" i="7"/>
  <c r="B136" i="7"/>
  <c r="A136" i="7"/>
  <c r="F135" i="7"/>
  <c r="E135" i="7"/>
  <c r="D135" i="7"/>
  <c r="C135" i="7"/>
  <c r="B135" i="7"/>
  <c r="A135" i="7"/>
  <c r="F134" i="7"/>
  <c r="E134" i="7"/>
  <c r="D134" i="7"/>
  <c r="C134" i="7"/>
  <c r="B134" i="7"/>
  <c r="A134" i="7"/>
  <c r="F133" i="7"/>
  <c r="E133" i="7"/>
  <c r="D133" i="7"/>
  <c r="C133" i="7"/>
  <c r="B133" i="7"/>
  <c r="A133" i="7"/>
  <c r="F132" i="7"/>
  <c r="E132" i="7"/>
  <c r="D132" i="7"/>
  <c r="C132" i="7"/>
  <c r="B132" i="7"/>
  <c r="A132" i="7"/>
  <c r="F131" i="7"/>
  <c r="E131" i="7"/>
  <c r="D131" i="7"/>
  <c r="C131" i="7"/>
  <c r="B131" i="7"/>
  <c r="A131" i="7"/>
  <c r="F130" i="7"/>
  <c r="E130" i="7"/>
  <c r="D130" i="7"/>
  <c r="C130" i="7"/>
  <c r="B130" i="7"/>
  <c r="A130" i="7"/>
  <c r="F129" i="7"/>
  <c r="E129" i="7"/>
  <c r="D129" i="7"/>
  <c r="C129" i="7"/>
  <c r="B129" i="7"/>
  <c r="A129" i="7"/>
  <c r="F128" i="7"/>
  <c r="E128" i="7"/>
  <c r="D128" i="7"/>
  <c r="C128" i="7"/>
  <c r="B128" i="7"/>
  <c r="A128" i="7"/>
  <c r="F127" i="7"/>
  <c r="E127" i="7"/>
  <c r="D127" i="7"/>
  <c r="C127" i="7"/>
  <c r="B127" i="7"/>
  <c r="A127" i="7"/>
  <c r="F126" i="7"/>
  <c r="E126" i="7"/>
  <c r="D126" i="7"/>
  <c r="C126" i="7"/>
  <c r="B126" i="7"/>
  <c r="A126" i="7"/>
  <c r="F125" i="7"/>
  <c r="E125" i="7"/>
  <c r="D125" i="7"/>
  <c r="C125" i="7"/>
  <c r="B125" i="7"/>
  <c r="A125" i="7"/>
  <c r="F124" i="7"/>
  <c r="E124" i="7"/>
  <c r="D124" i="7"/>
  <c r="C124" i="7"/>
  <c r="B124" i="7"/>
  <c r="A124" i="7"/>
  <c r="F123" i="7"/>
  <c r="E123" i="7"/>
  <c r="D123" i="7"/>
  <c r="C123" i="7"/>
  <c r="B123" i="7"/>
  <c r="A123" i="7"/>
  <c r="F122" i="7"/>
  <c r="E122" i="7"/>
  <c r="D122" i="7"/>
  <c r="C122" i="7"/>
  <c r="B122" i="7"/>
  <c r="A122" i="7"/>
  <c r="F121" i="7"/>
  <c r="E121" i="7"/>
  <c r="D121" i="7"/>
  <c r="C121" i="7"/>
  <c r="B121" i="7"/>
  <c r="A121" i="7"/>
  <c r="F120" i="7"/>
  <c r="E120" i="7"/>
  <c r="D120" i="7"/>
  <c r="C120" i="7"/>
  <c r="B120" i="7"/>
  <c r="A120" i="7"/>
  <c r="F119" i="7"/>
  <c r="E119" i="7"/>
  <c r="D119" i="7"/>
  <c r="C119" i="7"/>
  <c r="B119" i="7"/>
  <c r="A119" i="7"/>
  <c r="F118" i="7"/>
  <c r="E118" i="7"/>
  <c r="D118" i="7"/>
  <c r="C118" i="7"/>
  <c r="B118" i="7"/>
  <c r="A118" i="7"/>
  <c r="F117" i="7"/>
  <c r="E117" i="7"/>
  <c r="D117" i="7"/>
  <c r="C117" i="7"/>
  <c r="B117" i="7"/>
  <c r="A117" i="7"/>
  <c r="F116" i="7"/>
  <c r="E116" i="7"/>
  <c r="D116" i="7"/>
  <c r="C116" i="7"/>
  <c r="B116" i="7"/>
  <c r="A116" i="7"/>
  <c r="F115" i="7"/>
  <c r="E115" i="7"/>
  <c r="D115" i="7"/>
  <c r="C115" i="7"/>
  <c r="B115" i="7"/>
  <c r="A115" i="7"/>
  <c r="F114" i="7"/>
  <c r="E114" i="7"/>
  <c r="D114" i="7"/>
  <c r="C114" i="7"/>
  <c r="B114" i="7"/>
  <c r="A114" i="7"/>
  <c r="F113" i="7"/>
  <c r="E113" i="7"/>
  <c r="D113" i="7"/>
  <c r="C113" i="7"/>
  <c r="B113" i="7"/>
  <c r="A113" i="7"/>
  <c r="F112" i="7"/>
  <c r="E112" i="7"/>
  <c r="D112" i="7"/>
  <c r="C112" i="7"/>
  <c r="B112" i="7"/>
  <c r="A112" i="7"/>
  <c r="F111" i="7"/>
  <c r="E111" i="7"/>
  <c r="D111" i="7"/>
  <c r="C111" i="7"/>
  <c r="B111" i="7"/>
  <c r="A111" i="7"/>
  <c r="F110" i="7"/>
  <c r="E110" i="7"/>
  <c r="D110" i="7"/>
  <c r="C110" i="7"/>
  <c r="B110" i="7"/>
  <c r="A110" i="7"/>
  <c r="F109" i="7"/>
  <c r="E109" i="7"/>
  <c r="D109" i="7"/>
  <c r="C109" i="7"/>
  <c r="B109" i="7"/>
  <c r="A109" i="7"/>
  <c r="F108" i="7"/>
  <c r="E108" i="7"/>
  <c r="D108" i="7"/>
  <c r="C108" i="7"/>
  <c r="B108" i="7"/>
  <c r="A108" i="7"/>
  <c r="F107" i="7"/>
  <c r="E107" i="7"/>
  <c r="D107" i="7"/>
  <c r="C107" i="7"/>
  <c r="B107" i="7"/>
  <c r="A107" i="7"/>
  <c r="F106" i="7"/>
  <c r="E106" i="7"/>
  <c r="D106" i="7"/>
  <c r="C106" i="7"/>
  <c r="B106" i="7"/>
  <c r="A106" i="7"/>
  <c r="F105" i="7"/>
  <c r="E105" i="7"/>
  <c r="D105" i="7"/>
  <c r="C105" i="7"/>
  <c r="B105" i="7"/>
  <c r="A105" i="7"/>
  <c r="F104" i="7"/>
  <c r="E104" i="7"/>
  <c r="D104" i="7"/>
  <c r="C104" i="7"/>
  <c r="B104" i="7"/>
  <c r="A104" i="7"/>
  <c r="F103" i="7"/>
  <c r="E103" i="7"/>
  <c r="D103" i="7"/>
  <c r="C103" i="7"/>
  <c r="B103" i="7"/>
  <c r="A103" i="7"/>
  <c r="F102" i="7"/>
  <c r="E102" i="7"/>
  <c r="D102" i="7"/>
  <c r="C102" i="7"/>
  <c r="B102" i="7"/>
  <c r="A102" i="7"/>
  <c r="F101" i="7"/>
  <c r="E101" i="7"/>
  <c r="D101" i="7"/>
  <c r="C101" i="7"/>
  <c r="B101" i="7"/>
  <c r="A101" i="7"/>
  <c r="F100" i="7"/>
  <c r="E100" i="7"/>
  <c r="D100" i="7"/>
  <c r="C100" i="7"/>
  <c r="B100" i="7"/>
  <c r="A100" i="7"/>
  <c r="F99" i="7"/>
  <c r="E99" i="7"/>
  <c r="D99" i="7"/>
  <c r="C99" i="7"/>
  <c r="B99" i="7"/>
  <c r="A99" i="7"/>
  <c r="F98" i="7"/>
  <c r="E98" i="7"/>
  <c r="D98" i="7"/>
  <c r="C98" i="7"/>
  <c r="B98" i="7"/>
  <c r="A98" i="7"/>
  <c r="F97" i="7"/>
  <c r="E97" i="7"/>
  <c r="D97" i="7"/>
  <c r="C97" i="7"/>
  <c r="B97" i="7"/>
  <c r="A97" i="7"/>
  <c r="F96" i="7"/>
  <c r="E96" i="7"/>
  <c r="D96" i="7"/>
  <c r="C96" i="7"/>
  <c r="B96" i="7"/>
  <c r="A96" i="7"/>
  <c r="F95" i="7"/>
  <c r="E95" i="7"/>
  <c r="D95" i="7"/>
  <c r="C95" i="7"/>
  <c r="B95" i="7"/>
  <c r="A95" i="7"/>
  <c r="F94" i="7"/>
  <c r="E94" i="7"/>
  <c r="D94" i="7"/>
  <c r="C94" i="7"/>
  <c r="B94" i="7"/>
  <c r="A94" i="7"/>
  <c r="F93" i="7"/>
  <c r="E93" i="7"/>
  <c r="D93" i="7"/>
  <c r="C93" i="7"/>
  <c r="B93" i="7"/>
  <c r="A93" i="7"/>
  <c r="F92" i="7"/>
  <c r="E92" i="7"/>
  <c r="D92" i="7"/>
  <c r="C92" i="7"/>
  <c r="B92" i="7"/>
  <c r="A92" i="7"/>
  <c r="F91" i="7"/>
  <c r="E91" i="7"/>
  <c r="D91" i="7"/>
  <c r="C91" i="7"/>
  <c r="B91" i="7"/>
  <c r="A91" i="7"/>
  <c r="F90" i="7"/>
  <c r="E90" i="7"/>
  <c r="D90" i="7"/>
  <c r="C90" i="7"/>
  <c r="B90" i="7"/>
  <c r="A90" i="7"/>
  <c r="F89" i="7"/>
  <c r="E89" i="7"/>
  <c r="D89" i="7"/>
  <c r="C89" i="7"/>
  <c r="B89" i="7"/>
  <c r="A89" i="7"/>
  <c r="F88" i="7"/>
  <c r="E88" i="7"/>
  <c r="D88" i="7"/>
  <c r="C88" i="7"/>
  <c r="B88" i="7"/>
  <c r="A88" i="7"/>
  <c r="F87" i="7"/>
  <c r="E87" i="7"/>
  <c r="D87" i="7"/>
  <c r="C87" i="7"/>
  <c r="B87" i="7"/>
  <c r="A87" i="7"/>
  <c r="F86" i="7"/>
  <c r="E86" i="7"/>
  <c r="D86" i="7"/>
  <c r="C86" i="7"/>
  <c r="B86" i="7"/>
  <c r="A86" i="7"/>
  <c r="F85" i="7"/>
  <c r="E85" i="7"/>
  <c r="D85" i="7"/>
  <c r="C85" i="7"/>
  <c r="B85" i="7"/>
  <c r="A85" i="7"/>
  <c r="F84" i="7"/>
  <c r="E84" i="7"/>
  <c r="D84" i="7"/>
  <c r="C84" i="7"/>
  <c r="B84" i="7"/>
  <c r="A84" i="7"/>
  <c r="F83" i="7"/>
  <c r="E83" i="7"/>
  <c r="D83" i="7"/>
  <c r="C83" i="7"/>
  <c r="B83" i="7"/>
  <c r="A83" i="7"/>
  <c r="F82" i="7"/>
  <c r="E82" i="7"/>
  <c r="D82" i="7"/>
  <c r="C82" i="7"/>
  <c r="B82" i="7"/>
  <c r="A82" i="7"/>
  <c r="F81" i="7"/>
  <c r="E81" i="7"/>
  <c r="D81" i="7"/>
  <c r="C81" i="7"/>
  <c r="B81" i="7"/>
  <c r="A81" i="7"/>
  <c r="F80" i="7"/>
  <c r="E80" i="7"/>
  <c r="D80" i="7"/>
  <c r="C80" i="7"/>
  <c r="B80" i="7"/>
  <c r="A80" i="7"/>
  <c r="F79" i="7"/>
  <c r="E79" i="7"/>
  <c r="D79" i="7"/>
  <c r="C79" i="7"/>
  <c r="B79" i="7"/>
  <c r="A79" i="7"/>
  <c r="F78" i="7"/>
  <c r="E78" i="7"/>
  <c r="D78" i="7"/>
  <c r="C78" i="7"/>
  <c r="B78" i="7"/>
  <c r="A78" i="7"/>
  <c r="F77" i="7"/>
  <c r="E77" i="7"/>
  <c r="D77" i="7"/>
  <c r="C77" i="7"/>
  <c r="B77" i="7"/>
  <c r="A77" i="7"/>
  <c r="F76" i="7"/>
  <c r="E76" i="7"/>
  <c r="D76" i="7"/>
  <c r="C76" i="7"/>
  <c r="B76" i="7"/>
  <c r="A76" i="7"/>
  <c r="F75" i="7"/>
  <c r="E75" i="7"/>
  <c r="D75" i="7"/>
  <c r="C75" i="7"/>
  <c r="B75" i="7"/>
  <c r="A75" i="7"/>
  <c r="F74" i="7"/>
  <c r="E74" i="7"/>
  <c r="D74" i="7"/>
  <c r="C74" i="7"/>
  <c r="B74" i="7"/>
  <c r="A74" i="7"/>
  <c r="F73" i="7"/>
  <c r="E73" i="7"/>
  <c r="D73" i="7"/>
  <c r="C73" i="7"/>
  <c r="B73" i="7"/>
  <c r="A73" i="7"/>
  <c r="F72" i="7"/>
  <c r="E72" i="7"/>
  <c r="D72" i="7"/>
  <c r="C72" i="7"/>
  <c r="B72" i="7"/>
  <c r="A72" i="7"/>
  <c r="F71" i="7"/>
  <c r="E71" i="7"/>
  <c r="D71" i="7"/>
  <c r="C71" i="7"/>
  <c r="B71" i="7"/>
  <c r="A71" i="7"/>
  <c r="F70" i="7"/>
  <c r="E70" i="7"/>
  <c r="D70" i="7"/>
  <c r="C70" i="7"/>
  <c r="B70" i="7"/>
  <c r="A70" i="7"/>
  <c r="F69" i="7"/>
  <c r="E69" i="7"/>
  <c r="D69" i="7"/>
  <c r="C69" i="7"/>
  <c r="B69" i="7"/>
  <c r="A69" i="7"/>
  <c r="F68" i="7"/>
  <c r="E68" i="7"/>
  <c r="D68" i="7"/>
  <c r="C68" i="7"/>
  <c r="B68" i="7"/>
  <c r="A68" i="7"/>
  <c r="F67" i="7"/>
  <c r="E67" i="7"/>
  <c r="D67" i="7"/>
  <c r="C67" i="7"/>
  <c r="B67" i="7"/>
  <c r="A67" i="7"/>
  <c r="F66" i="7"/>
  <c r="E66" i="7"/>
  <c r="D66" i="7"/>
  <c r="C66" i="7"/>
  <c r="B66" i="7"/>
  <c r="A66" i="7"/>
  <c r="F65" i="7"/>
  <c r="E65" i="7"/>
  <c r="D65" i="7"/>
  <c r="C65" i="7"/>
  <c r="B65" i="7"/>
  <c r="A65" i="7"/>
  <c r="F64" i="7"/>
  <c r="E64" i="7"/>
  <c r="D64" i="7"/>
  <c r="C64" i="7"/>
  <c r="B64" i="7"/>
  <c r="A64" i="7"/>
  <c r="F63" i="7"/>
  <c r="E63" i="7"/>
  <c r="D63" i="7"/>
  <c r="C63" i="7"/>
  <c r="B63" i="7"/>
  <c r="A63" i="7"/>
  <c r="F62" i="7"/>
  <c r="E62" i="7"/>
  <c r="D62" i="7"/>
  <c r="C62" i="7"/>
  <c r="B62" i="7"/>
  <c r="A62" i="7"/>
  <c r="F61" i="7"/>
  <c r="E61" i="7"/>
  <c r="D61" i="7"/>
  <c r="C61" i="7"/>
  <c r="B61" i="7"/>
  <c r="A61" i="7"/>
  <c r="F60" i="7"/>
  <c r="E60" i="7"/>
  <c r="D60" i="7"/>
  <c r="C60" i="7"/>
  <c r="B60" i="7"/>
  <c r="A60" i="7"/>
  <c r="F59" i="7"/>
  <c r="E59" i="7"/>
  <c r="D59" i="7"/>
  <c r="C59" i="7"/>
  <c r="B59" i="7"/>
  <c r="A59" i="7"/>
  <c r="F58" i="7"/>
  <c r="E58" i="7"/>
  <c r="D58" i="7"/>
  <c r="C58" i="7"/>
  <c r="B58" i="7"/>
  <c r="A58" i="7"/>
  <c r="F57" i="7"/>
  <c r="E57" i="7"/>
  <c r="D57" i="7"/>
  <c r="C57" i="7"/>
  <c r="B57" i="7"/>
  <c r="A57" i="7"/>
  <c r="F56" i="7"/>
  <c r="E56" i="7"/>
  <c r="D56" i="7"/>
  <c r="C56" i="7"/>
  <c r="B56" i="7"/>
  <c r="A56" i="7"/>
  <c r="F55" i="7"/>
  <c r="E55" i="7"/>
  <c r="D55" i="7"/>
  <c r="C55" i="7"/>
  <c r="B55" i="7"/>
  <c r="A55" i="7"/>
  <c r="F54" i="7"/>
  <c r="E54" i="7"/>
  <c r="D54" i="7"/>
  <c r="C54" i="7"/>
  <c r="B54" i="7"/>
  <c r="A54" i="7"/>
  <c r="F53" i="7"/>
  <c r="E53" i="7"/>
  <c r="D53" i="7"/>
  <c r="C53" i="7"/>
  <c r="B53" i="7"/>
  <c r="A53" i="7"/>
  <c r="F52" i="7"/>
  <c r="E52" i="7"/>
  <c r="D52" i="7"/>
  <c r="C52" i="7"/>
  <c r="B52" i="7"/>
  <c r="A52" i="7"/>
  <c r="F51" i="7"/>
  <c r="E51" i="7"/>
  <c r="D51" i="7"/>
  <c r="C51" i="7"/>
  <c r="B51" i="7"/>
  <c r="A51" i="7"/>
  <c r="F50" i="7"/>
  <c r="E50" i="7"/>
  <c r="D50" i="7"/>
  <c r="C50" i="7"/>
  <c r="B50" i="7"/>
  <c r="A50" i="7"/>
  <c r="F49" i="7"/>
  <c r="E49" i="7"/>
  <c r="D49" i="7"/>
  <c r="C49" i="7"/>
  <c r="B49" i="7"/>
  <c r="A49" i="7"/>
  <c r="F48" i="7"/>
  <c r="E48" i="7"/>
  <c r="D48" i="7"/>
  <c r="C48" i="7"/>
  <c r="B48" i="7"/>
  <c r="A48" i="7"/>
  <c r="F47" i="7"/>
  <c r="E47" i="7"/>
  <c r="D47" i="7"/>
  <c r="C47" i="7"/>
  <c r="B47" i="7"/>
  <c r="A47" i="7"/>
  <c r="F46" i="7"/>
  <c r="E46" i="7"/>
  <c r="D46" i="7"/>
  <c r="C46" i="7"/>
  <c r="B46" i="7"/>
  <c r="A46" i="7"/>
  <c r="F45" i="7"/>
  <c r="E45" i="7"/>
  <c r="D45" i="7"/>
  <c r="C45" i="7"/>
  <c r="B45" i="7"/>
  <c r="A45" i="7"/>
  <c r="F44" i="7"/>
  <c r="E44" i="7"/>
  <c r="D44" i="7"/>
  <c r="C44" i="7"/>
  <c r="B44" i="7"/>
  <c r="A44" i="7"/>
  <c r="F43" i="7"/>
  <c r="E43" i="7"/>
  <c r="D43" i="7"/>
  <c r="C43" i="7"/>
  <c r="B43" i="7"/>
  <c r="A43" i="7"/>
  <c r="F42" i="7"/>
  <c r="E42" i="7"/>
  <c r="D42" i="7"/>
  <c r="C42" i="7"/>
  <c r="B42" i="7"/>
  <c r="A42" i="7"/>
  <c r="F41" i="7"/>
  <c r="E41" i="7"/>
  <c r="D41" i="7"/>
  <c r="C41" i="7"/>
  <c r="B41" i="7"/>
  <c r="A41" i="7"/>
  <c r="F40" i="7"/>
  <c r="E40" i="7"/>
  <c r="D40" i="7"/>
  <c r="C40" i="7"/>
  <c r="B40" i="7"/>
  <c r="A40" i="7"/>
  <c r="F39" i="7"/>
  <c r="E39" i="7"/>
  <c r="D39" i="7"/>
  <c r="C39" i="7"/>
  <c r="B39" i="7"/>
  <c r="A39" i="7"/>
  <c r="F38" i="7"/>
  <c r="E38" i="7"/>
  <c r="D38" i="7"/>
  <c r="C38" i="7"/>
  <c r="B38" i="7"/>
  <c r="A38" i="7"/>
  <c r="F37" i="7"/>
  <c r="E37" i="7"/>
  <c r="D37" i="7"/>
  <c r="C37" i="7"/>
  <c r="B37" i="7"/>
  <c r="A37" i="7"/>
  <c r="F36" i="7"/>
  <c r="E36" i="7"/>
  <c r="D36" i="7"/>
  <c r="C36" i="7"/>
  <c r="B36" i="7"/>
  <c r="A36" i="7"/>
  <c r="F35" i="7"/>
  <c r="E35" i="7"/>
  <c r="D35" i="7"/>
  <c r="C35" i="7"/>
  <c r="B35" i="7"/>
  <c r="A35" i="7"/>
  <c r="F34" i="7"/>
  <c r="E34" i="7"/>
  <c r="D34" i="7"/>
  <c r="C34" i="7"/>
  <c r="B34" i="7"/>
  <c r="A34" i="7"/>
  <c r="F33" i="7"/>
  <c r="E33" i="7"/>
  <c r="D33" i="7"/>
  <c r="C33" i="7"/>
  <c r="B33" i="7"/>
  <c r="A33" i="7"/>
  <c r="F32" i="7"/>
  <c r="E32" i="7"/>
  <c r="D32" i="7"/>
  <c r="C32" i="7"/>
  <c r="B32" i="7"/>
  <c r="A32" i="7"/>
  <c r="F31" i="7"/>
  <c r="E31" i="7"/>
  <c r="D31" i="7"/>
  <c r="C31" i="7"/>
  <c r="B31" i="7"/>
  <c r="A31" i="7"/>
  <c r="F30" i="7"/>
  <c r="E30" i="7"/>
  <c r="D30" i="7"/>
  <c r="C30" i="7"/>
  <c r="B30" i="7"/>
  <c r="A30" i="7"/>
  <c r="F29" i="7"/>
  <c r="E29" i="7"/>
  <c r="D29" i="7"/>
  <c r="C29" i="7"/>
  <c r="B29" i="7"/>
  <c r="A29" i="7"/>
  <c r="F28" i="7"/>
  <c r="E28" i="7"/>
  <c r="D28" i="7"/>
  <c r="C28" i="7"/>
  <c r="B28" i="7"/>
  <c r="A28" i="7"/>
  <c r="F27" i="7"/>
  <c r="E27" i="7"/>
  <c r="D27" i="7"/>
  <c r="C27" i="7"/>
  <c r="B27" i="7"/>
  <c r="A27" i="7"/>
  <c r="F26" i="7"/>
  <c r="E26" i="7"/>
  <c r="D26" i="7"/>
  <c r="C26" i="7"/>
  <c r="B26" i="7"/>
  <c r="A26" i="7"/>
  <c r="F25" i="7"/>
  <c r="E25" i="7"/>
  <c r="D25" i="7"/>
  <c r="C25" i="7"/>
  <c r="B25" i="7"/>
  <c r="A25" i="7"/>
  <c r="F24" i="7"/>
  <c r="E24" i="7"/>
  <c r="D24" i="7"/>
  <c r="C24" i="7"/>
  <c r="B24" i="7"/>
  <c r="A24" i="7"/>
  <c r="F23" i="7"/>
  <c r="E23" i="7"/>
  <c r="D23" i="7"/>
  <c r="C23" i="7"/>
  <c r="B23" i="7"/>
  <c r="A23" i="7"/>
  <c r="F22" i="7"/>
  <c r="E22" i="7"/>
  <c r="D22" i="7"/>
  <c r="C22" i="7"/>
  <c r="B22" i="7"/>
  <c r="A22" i="7"/>
  <c r="F21" i="7"/>
  <c r="E21" i="7"/>
  <c r="D21" i="7"/>
  <c r="C21" i="7"/>
  <c r="B21" i="7"/>
  <c r="A21" i="7"/>
  <c r="F20" i="7"/>
  <c r="E20" i="7"/>
  <c r="D20" i="7"/>
  <c r="C20" i="7"/>
  <c r="B20" i="7"/>
  <c r="A20" i="7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F14" i="7"/>
  <c r="E14" i="7"/>
  <c r="D14" i="7"/>
  <c r="C14" i="7"/>
  <c r="B14" i="7"/>
  <c r="A14" i="7"/>
  <c r="F13" i="7"/>
  <c r="E13" i="7"/>
  <c r="D13" i="7"/>
  <c r="C13" i="7"/>
  <c r="B13" i="7"/>
  <c r="A13" i="7"/>
  <c r="F12" i="7"/>
  <c r="E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D9" i="7"/>
  <c r="C9" i="7"/>
  <c r="B9" i="7"/>
  <c r="A9" i="7"/>
  <c r="F8" i="7"/>
  <c r="E8" i="7"/>
  <c r="D8" i="7"/>
  <c r="C8" i="7"/>
  <c r="B8" i="7"/>
  <c r="A8" i="7"/>
  <c r="F7" i="7"/>
  <c r="E7" i="7"/>
  <c r="D7" i="7"/>
  <c r="C7" i="7"/>
  <c r="B7" i="7"/>
  <c r="A7" i="7"/>
  <c r="F6" i="7"/>
  <c r="E6" i="7"/>
  <c r="D6" i="7"/>
  <c r="C6" i="7"/>
  <c r="B6" i="7"/>
  <c r="A6" i="7"/>
  <c r="F5" i="7"/>
  <c r="E5" i="7"/>
  <c r="D5" i="7"/>
  <c r="C5" i="7"/>
  <c r="B5" i="7"/>
  <c r="A5" i="7"/>
  <c r="F4" i="7"/>
  <c r="E4" i="7"/>
  <c r="D4" i="7"/>
  <c r="C4" i="7"/>
  <c r="B4" i="7"/>
  <c r="A4" i="7"/>
  <c r="F3" i="7"/>
  <c r="E3" i="7"/>
  <c r="D3" i="7"/>
  <c r="C3" i="7"/>
  <c r="B3" i="7"/>
  <c r="A3" i="7"/>
  <c r="J52" i="1" l="1"/>
  <c r="K52" i="1"/>
  <c r="K51" i="4" l="1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J11" i="3"/>
  <c r="J10" i="3"/>
  <c r="J9" i="3"/>
  <c r="K8" i="3"/>
  <c r="K9" i="3" s="1"/>
  <c r="K10" i="3" s="1"/>
  <c r="K11" i="3" s="1"/>
  <c r="J8" i="3"/>
  <c r="K7" i="3"/>
  <c r="J7" i="3"/>
  <c r="K6" i="3"/>
  <c r="J6" i="3"/>
  <c r="K5" i="3"/>
  <c r="J5" i="3"/>
  <c r="K4" i="3"/>
  <c r="J4" i="3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4" i="1"/>
</calcChain>
</file>

<file path=xl/sharedStrings.xml><?xml version="1.0" encoding="utf-8"?>
<sst xmlns="http://schemas.openxmlformats.org/spreadsheetml/2006/main" count="1548" uniqueCount="42">
  <si>
    <t>http://www.csiro.au/greenhouse-gases/</t>
  </si>
  <si>
    <t>YYYY</t>
  </si>
  <si>
    <t>MM</t>
  </si>
  <si>
    <t>DD</t>
  </si>
  <si>
    <t>DATE</t>
  </si>
  <si>
    <t>CO2(ppm)</t>
  </si>
  <si>
    <t>SD(ppm)</t>
  </si>
  <si>
    <t>GR(ppm/yr)</t>
  </si>
  <si>
    <t>Source</t>
  </si>
  <si>
    <t>in situ</t>
  </si>
  <si>
    <t>flask</t>
  </si>
  <si>
    <t>This file contains the monthly mean baseline (background) carbon dioxide (CO2) concentration measured at the Kennaook / Cape Grim Baseline Air Pollution Station (KCGBAPS)</t>
  </si>
  <si>
    <t>N</t>
  </si>
  <si>
    <t>CO2_ann</t>
  </si>
  <si>
    <t>Kennaook / Cape Grim air archive</t>
  </si>
  <si>
    <t>CH4(ppb)</t>
  </si>
  <si>
    <t>This file contains the monthly mean baseline (background) methanee (CH4; ppb) concentration measured at the Kennaook / Cape Grim Baseline Air Pollution Station (KCGBAPS)</t>
  </si>
  <si>
    <t>N2O_ann</t>
  </si>
  <si>
    <t>N2O(ppb)</t>
  </si>
  <si>
    <t>This file contains the monthly mean baseline (background) nitrous oxide (N2O) concentration measured at the Kennaook / Cape Grim Baseline Air Pollution Station (KCGBAPS)</t>
  </si>
  <si>
    <t>CH4_ann</t>
  </si>
  <si>
    <t>NaN</t>
  </si>
  <si>
    <t>Release Date: August 2024</t>
  </si>
  <si>
    <t>CO2e</t>
  </si>
  <si>
    <t>n2o</t>
  </si>
  <si>
    <t>Date</t>
  </si>
  <si>
    <t>co2</t>
  </si>
  <si>
    <t>ch4</t>
  </si>
  <si>
    <t>global radiative forcing (W m-2) and CO2-e (ppm)</t>
  </si>
  <si>
    <t>total_rf</t>
  </si>
  <si>
    <t>W m-2</t>
  </si>
  <si>
    <t>ppm</t>
  </si>
  <si>
    <t>Date_CH4</t>
  </si>
  <si>
    <t>CH4ppb</t>
  </si>
  <si>
    <t>Date_CO2</t>
  </si>
  <si>
    <t>CO2ppb</t>
  </si>
  <si>
    <t>Date_N2O</t>
  </si>
  <si>
    <t>N2Oppb</t>
  </si>
  <si>
    <t>year</t>
  </si>
  <si>
    <t>grid</t>
  </si>
  <si>
    <t>combined Law Dome ice (black) &amp; firn DSSW20K  (red); DE08-2 (blue)  for plotting</t>
  </si>
  <si>
    <t>sgg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</si>
</sst>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18" fillId="0" borderId="0" xfId="0" applyFont="1"/>
    <xf numFmtId="2" fontId="18" fillId="0" borderId="0" xfId="0" applyNumberFormat="1" applyFont="1"/>
    <xf numFmtId="164" fontId="18" fillId="0" borderId="0" xfId="0" applyNumberFormat="1" applyFont="1"/>
    <xf numFmtId="0" fontId="20" fillId="0" borderId="0" xfId="42" applyFont="1"/>
    <xf numFmtId="0" fontId="21" fillId="0" borderId="0" xfId="0" applyFont="1"/>
    <xf numFmtId="165" fontId="18" fillId="0" borderId="0" xfId="0" applyNumberFormat="1" applyFont="1"/>
    <xf numFmtId="164" fontId="20" fillId="0" borderId="0" xfId="42" applyNumberFormat="1" applyFont="1"/>
    <xf numFmtId="2" fontId="22" fillId="0" borderId="0" xfId="0" applyNumberFormat="1" applyFont="1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2" fontId="14" fillId="0" borderId="0" xfId="0" applyNumberFormat="1" applyFont="1"/>
    <xf numFmtId="2" fontId="23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siroau-my.sharepoint.com/personal/der015_csiro_au/Documents/Documents/Etheridge/Data/170815_Data_repository.xlsx" TargetMode="External"/><Relationship Id="rId1" Type="http://schemas.openxmlformats.org/officeDocument/2006/relationships/externalLinkPath" Target="/personal/der015_csiro_au/Documents/Documents/Etheridge/Data/170815_Data_reposi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ot data"/>
      <sheetName val="CO2_comparison"/>
      <sheetName val="CO2"/>
      <sheetName val="CO2_firn"/>
      <sheetName val="CH4_comparison"/>
      <sheetName val="CH4"/>
      <sheetName val="CH4_firn"/>
      <sheetName val="N2O_comparison"/>
      <sheetName val="N2O"/>
      <sheetName val="N2O_firn"/>
      <sheetName val="CO"/>
      <sheetName val="d13C_comparison"/>
      <sheetName val="d13C-CO2"/>
      <sheetName val="d13C_firn"/>
      <sheetName val="CapeGrim"/>
      <sheetName val="Biogeochem_Climate"/>
      <sheetName val="CO2plots"/>
      <sheetName val="CH4plots"/>
      <sheetName val="spline_input"/>
      <sheetName val="N2Oplots"/>
      <sheetName val="splines"/>
    </sheetNames>
    <sheetDataSet>
      <sheetData sheetId="0"/>
      <sheetData sheetId="1" refreshError="1"/>
      <sheetData sheetId="2">
        <row r="3">
          <cell r="D3">
            <v>1972.92</v>
          </cell>
          <cell r="S3">
            <v>330.416</v>
          </cell>
        </row>
        <row r="4">
          <cell r="D4">
            <v>1969.69</v>
          </cell>
          <cell r="S4">
            <v>323.78699999999998</v>
          </cell>
        </row>
        <row r="5">
          <cell r="D5">
            <v>1969.13</v>
          </cell>
          <cell r="S5">
            <v>324.065</v>
          </cell>
        </row>
        <row r="6">
          <cell r="D6">
            <v>1968.85</v>
          </cell>
          <cell r="S6">
            <v>320.25700000000001</v>
          </cell>
        </row>
        <row r="7">
          <cell r="D7">
            <v>1967.07</v>
          </cell>
          <cell r="S7">
            <v>320.36799999999999</v>
          </cell>
        </row>
        <row r="8">
          <cell r="D8">
            <v>1965.67</v>
          </cell>
          <cell r="S8">
            <v>319.17700000000002</v>
          </cell>
        </row>
        <row r="9">
          <cell r="D9">
            <v>1965.6</v>
          </cell>
          <cell r="S9">
            <v>319.875</v>
          </cell>
        </row>
        <row r="10">
          <cell r="D10">
            <v>1963.86</v>
          </cell>
          <cell r="S10">
            <v>319.26400000000001</v>
          </cell>
        </row>
        <row r="11">
          <cell r="D11">
            <v>1963.5</v>
          </cell>
          <cell r="S11">
            <v>318.947</v>
          </cell>
        </row>
        <row r="12">
          <cell r="D12">
            <v>1962.93</v>
          </cell>
          <cell r="S12">
            <v>319.75700000000001</v>
          </cell>
        </row>
        <row r="13">
          <cell r="D13">
            <v>1962.93</v>
          </cell>
          <cell r="S13">
            <v>317.322</v>
          </cell>
        </row>
        <row r="14">
          <cell r="D14">
            <v>1962.86</v>
          </cell>
          <cell r="S14">
            <v>317.42</v>
          </cell>
        </row>
        <row r="15">
          <cell r="D15">
            <v>1962.71</v>
          </cell>
          <cell r="S15">
            <v>319.11900000000003</v>
          </cell>
        </row>
        <row r="16">
          <cell r="D16">
            <v>1962.64</v>
          </cell>
          <cell r="S16">
            <v>317.50299999999999</v>
          </cell>
        </row>
        <row r="17">
          <cell r="D17">
            <v>1960.71</v>
          </cell>
          <cell r="S17">
            <v>312.98099999999999</v>
          </cell>
        </row>
        <row r="18">
          <cell r="D18">
            <v>1958.9</v>
          </cell>
          <cell r="S18">
            <v>316.47300000000001</v>
          </cell>
        </row>
        <row r="19">
          <cell r="D19">
            <v>1958</v>
          </cell>
          <cell r="S19">
            <v>314.71600000000001</v>
          </cell>
        </row>
        <row r="20">
          <cell r="D20">
            <v>1957.2</v>
          </cell>
          <cell r="S20">
            <v>315.14400000000001</v>
          </cell>
        </row>
        <row r="21">
          <cell r="D21">
            <v>1957</v>
          </cell>
          <cell r="S21">
            <v>314.38</v>
          </cell>
        </row>
        <row r="22">
          <cell r="D22">
            <v>1957</v>
          </cell>
          <cell r="S22">
            <v>314.51100000000002</v>
          </cell>
        </row>
        <row r="23">
          <cell r="D23">
            <v>1955.33</v>
          </cell>
          <cell r="S23">
            <v>314.60399999999998</v>
          </cell>
        </row>
        <row r="24">
          <cell r="D24">
            <v>1955.33</v>
          </cell>
          <cell r="S24">
            <v>313.74799999999999</v>
          </cell>
        </row>
        <row r="25">
          <cell r="D25">
            <v>1955</v>
          </cell>
          <cell r="S25">
            <v>314.88400000000001</v>
          </cell>
        </row>
        <row r="26">
          <cell r="D26">
            <v>1955</v>
          </cell>
          <cell r="S26">
            <v>314.661</v>
          </cell>
        </row>
        <row r="27">
          <cell r="D27">
            <v>1954.13</v>
          </cell>
          <cell r="S27">
            <v>313.12599999999998</v>
          </cell>
        </row>
        <row r="28">
          <cell r="D28">
            <v>1954.07</v>
          </cell>
          <cell r="S28">
            <v>312.673</v>
          </cell>
        </row>
        <row r="29">
          <cell r="D29">
            <v>1953.93</v>
          </cell>
          <cell r="S29">
            <v>311.59100000000001</v>
          </cell>
        </row>
        <row r="30">
          <cell r="D30">
            <v>1953.93</v>
          </cell>
          <cell r="S30">
            <v>312.81599999999997</v>
          </cell>
        </row>
        <row r="31">
          <cell r="D31">
            <v>1952.9</v>
          </cell>
          <cell r="S31">
            <v>312.32799999999997</v>
          </cell>
        </row>
        <row r="32">
          <cell r="D32">
            <v>1950</v>
          </cell>
          <cell r="S32">
            <v>313.71800000000002</v>
          </cell>
        </row>
        <row r="33">
          <cell r="D33">
            <v>1948.93</v>
          </cell>
          <cell r="S33">
            <v>309.83699999999999</v>
          </cell>
        </row>
        <row r="34">
          <cell r="D34">
            <v>1948.07</v>
          </cell>
          <cell r="S34">
            <v>311.62799999999999</v>
          </cell>
        </row>
        <row r="35">
          <cell r="D35">
            <v>1947</v>
          </cell>
          <cell r="S35">
            <v>313.27</v>
          </cell>
        </row>
        <row r="36">
          <cell r="D36">
            <v>1947</v>
          </cell>
          <cell r="S36">
            <v>312.57900000000001</v>
          </cell>
        </row>
        <row r="37">
          <cell r="D37">
            <v>1946.08</v>
          </cell>
          <cell r="S37">
            <v>312.61799999999999</v>
          </cell>
        </row>
        <row r="38">
          <cell r="D38">
            <v>1945.18</v>
          </cell>
          <cell r="S38">
            <v>311.42099999999999</v>
          </cell>
        </row>
        <row r="39">
          <cell r="D39">
            <v>1944.91</v>
          </cell>
          <cell r="S39">
            <v>310.22199999999998</v>
          </cell>
        </row>
        <row r="40">
          <cell r="D40">
            <v>1943.92</v>
          </cell>
          <cell r="S40">
            <v>312.42500000000001</v>
          </cell>
        </row>
        <row r="41">
          <cell r="D41">
            <v>1942.55</v>
          </cell>
          <cell r="S41">
            <v>311.67500000000001</v>
          </cell>
        </row>
        <row r="42">
          <cell r="D42">
            <v>1942.55</v>
          </cell>
          <cell r="S42">
            <v>312.19600000000003</v>
          </cell>
        </row>
        <row r="43">
          <cell r="D43">
            <v>1942.09</v>
          </cell>
          <cell r="S43">
            <v>312.79500000000002</v>
          </cell>
        </row>
        <row r="44">
          <cell r="D44">
            <v>1942.09</v>
          </cell>
          <cell r="S44">
            <v>312.108</v>
          </cell>
        </row>
        <row r="45">
          <cell r="D45">
            <v>1941</v>
          </cell>
          <cell r="S45">
            <v>311.86</v>
          </cell>
        </row>
        <row r="46">
          <cell r="D46">
            <v>1940.92</v>
          </cell>
          <cell r="S46">
            <v>307.61</v>
          </cell>
        </row>
        <row r="47">
          <cell r="D47">
            <v>1939.36</v>
          </cell>
          <cell r="S47">
            <v>311.02100000000002</v>
          </cell>
        </row>
        <row r="48">
          <cell r="D48">
            <v>1939.36</v>
          </cell>
          <cell r="S48">
            <v>311.375</v>
          </cell>
        </row>
        <row r="49">
          <cell r="D49">
            <v>1939.09</v>
          </cell>
          <cell r="S49">
            <v>312.26</v>
          </cell>
        </row>
        <row r="50">
          <cell r="D50">
            <v>1939.09</v>
          </cell>
          <cell r="S50">
            <v>308.42200000000003</v>
          </cell>
        </row>
        <row r="51">
          <cell r="D51">
            <v>1938.92</v>
          </cell>
          <cell r="S51">
            <v>307.81400000000002</v>
          </cell>
        </row>
        <row r="52">
          <cell r="D52">
            <v>1938</v>
          </cell>
          <cell r="S52">
            <v>310.71600000000001</v>
          </cell>
        </row>
        <row r="53">
          <cell r="D53">
            <v>1938</v>
          </cell>
          <cell r="S53">
            <v>312.44499999999999</v>
          </cell>
        </row>
        <row r="54">
          <cell r="D54">
            <v>1937.08</v>
          </cell>
          <cell r="S54">
            <v>306.92700000000002</v>
          </cell>
        </row>
        <row r="55">
          <cell r="D55">
            <v>1937.08</v>
          </cell>
          <cell r="S55">
            <v>307.63099999999997</v>
          </cell>
        </row>
        <row r="56">
          <cell r="D56">
            <v>1936.15</v>
          </cell>
          <cell r="S56">
            <v>309.49099999999999</v>
          </cell>
        </row>
        <row r="57">
          <cell r="D57">
            <v>1936.15</v>
          </cell>
          <cell r="S57">
            <v>309.12900000000002</v>
          </cell>
        </row>
        <row r="58">
          <cell r="D58">
            <v>1936</v>
          </cell>
          <cell r="S58">
            <v>307.13</v>
          </cell>
        </row>
        <row r="59">
          <cell r="D59">
            <v>1935.2</v>
          </cell>
          <cell r="S59">
            <v>306.19299999999998</v>
          </cell>
        </row>
        <row r="60">
          <cell r="D60">
            <v>1934</v>
          </cell>
          <cell r="S60">
            <v>306.72300000000001</v>
          </cell>
        </row>
        <row r="61">
          <cell r="D61">
            <v>1934</v>
          </cell>
          <cell r="S61">
            <v>306.59500000000003</v>
          </cell>
        </row>
        <row r="62">
          <cell r="D62">
            <v>1934</v>
          </cell>
          <cell r="S62">
            <v>307.80099999999999</v>
          </cell>
        </row>
        <row r="63">
          <cell r="D63">
            <v>1933.23</v>
          </cell>
          <cell r="S63">
            <v>305.81700000000001</v>
          </cell>
        </row>
        <row r="64">
          <cell r="D64">
            <v>1933</v>
          </cell>
          <cell r="S64">
            <v>308.34100000000001</v>
          </cell>
        </row>
        <row r="65">
          <cell r="D65">
            <v>1932.7</v>
          </cell>
          <cell r="S65">
            <v>308.24099999999999</v>
          </cell>
        </row>
        <row r="66">
          <cell r="D66">
            <v>1931.15</v>
          </cell>
          <cell r="S66">
            <v>305.58999999999997</v>
          </cell>
        </row>
        <row r="67">
          <cell r="D67">
            <v>1931.15</v>
          </cell>
          <cell r="S67">
            <v>305.63600000000002</v>
          </cell>
        </row>
        <row r="68">
          <cell r="D68">
            <v>1929.06</v>
          </cell>
          <cell r="S68">
            <v>305.84300000000002</v>
          </cell>
        </row>
        <row r="69">
          <cell r="D69">
            <v>1928.33</v>
          </cell>
          <cell r="S69">
            <v>307.59100000000001</v>
          </cell>
        </row>
        <row r="70">
          <cell r="D70">
            <v>1928.33</v>
          </cell>
          <cell r="S70">
            <v>308.39100000000002</v>
          </cell>
        </row>
        <row r="71">
          <cell r="D71">
            <v>1926.11</v>
          </cell>
          <cell r="S71">
            <v>305.50599999999997</v>
          </cell>
        </row>
        <row r="72">
          <cell r="D72">
            <v>1926.11</v>
          </cell>
          <cell r="S72">
            <v>306.673</v>
          </cell>
        </row>
        <row r="73">
          <cell r="D73">
            <v>1925.9</v>
          </cell>
          <cell r="S73">
            <v>303.55</v>
          </cell>
        </row>
        <row r="74">
          <cell r="D74">
            <v>1925.7</v>
          </cell>
          <cell r="S74">
            <v>302.23399999999998</v>
          </cell>
        </row>
        <row r="75">
          <cell r="D75">
            <v>1925.2</v>
          </cell>
          <cell r="S75">
            <v>305.30700000000002</v>
          </cell>
        </row>
        <row r="76">
          <cell r="D76">
            <v>1925.2</v>
          </cell>
          <cell r="S76">
            <v>304.60399999999998</v>
          </cell>
        </row>
        <row r="77">
          <cell r="D77">
            <v>1923.13</v>
          </cell>
          <cell r="S77">
            <v>307.673</v>
          </cell>
        </row>
        <row r="78">
          <cell r="D78">
            <v>1923.13</v>
          </cell>
          <cell r="S78">
            <v>306.10599999999999</v>
          </cell>
        </row>
        <row r="79">
          <cell r="D79">
            <v>1923.13</v>
          </cell>
          <cell r="S79">
            <v>303.05</v>
          </cell>
        </row>
        <row r="80">
          <cell r="D80">
            <v>1923.13</v>
          </cell>
          <cell r="S80">
            <v>307.798</v>
          </cell>
        </row>
        <row r="81">
          <cell r="D81">
            <v>1922.87</v>
          </cell>
          <cell r="S81">
            <v>303.31799999999998</v>
          </cell>
        </row>
        <row r="82">
          <cell r="D82">
            <v>1920.09</v>
          </cell>
          <cell r="S82">
            <v>301.74599999999998</v>
          </cell>
        </row>
        <row r="83">
          <cell r="D83">
            <v>1919.08</v>
          </cell>
          <cell r="S83">
            <v>304.67500000000001</v>
          </cell>
        </row>
        <row r="84">
          <cell r="D84">
            <v>1918.33</v>
          </cell>
          <cell r="S84">
            <v>303.28500000000003</v>
          </cell>
        </row>
        <row r="85">
          <cell r="D85">
            <v>1918.33</v>
          </cell>
          <cell r="S85">
            <v>303.52100000000002</v>
          </cell>
        </row>
        <row r="86">
          <cell r="D86">
            <v>1918.33</v>
          </cell>
          <cell r="S86">
            <v>303.90899999999999</v>
          </cell>
        </row>
        <row r="87">
          <cell r="D87">
            <v>1918.33</v>
          </cell>
          <cell r="S87">
            <v>304.08800000000002</v>
          </cell>
        </row>
        <row r="88">
          <cell r="D88">
            <v>1916.1</v>
          </cell>
          <cell r="S88">
            <v>301.90199999999999</v>
          </cell>
        </row>
        <row r="89">
          <cell r="D89">
            <v>1914.67</v>
          </cell>
          <cell r="S89">
            <v>301.13299999999998</v>
          </cell>
        </row>
        <row r="90">
          <cell r="D90">
            <v>1914.67</v>
          </cell>
          <cell r="S90">
            <v>300.41000000000003</v>
          </cell>
        </row>
        <row r="91">
          <cell r="D91">
            <v>1912.6</v>
          </cell>
          <cell r="S91">
            <v>301.28500000000003</v>
          </cell>
        </row>
        <row r="92">
          <cell r="D92">
            <v>1911.42</v>
          </cell>
          <cell r="S92">
            <v>298.27499999999998</v>
          </cell>
        </row>
        <row r="93">
          <cell r="D93">
            <v>1911.25</v>
          </cell>
          <cell r="S93">
            <v>296.745</v>
          </cell>
        </row>
        <row r="94">
          <cell r="D94">
            <v>1910.92</v>
          </cell>
          <cell r="S94">
            <v>297.98500000000001</v>
          </cell>
        </row>
        <row r="95">
          <cell r="D95">
            <v>1910.15</v>
          </cell>
          <cell r="S95">
            <v>297.738</v>
          </cell>
        </row>
        <row r="96">
          <cell r="D96">
            <v>1909</v>
          </cell>
          <cell r="S96">
            <v>301.565</v>
          </cell>
        </row>
        <row r="97">
          <cell r="D97">
            <v>1905.8</v>
          </cell>
          <cell r="S97">
            <v>297.245</v>
          </cell>
        </row>
        <row r="98">
          <cell r="D98">
            <v>1905.6</v>
          </cell>
          <cell r="S98">
            <v>298.94200000000001</v>
          </cell>
        </row>
        <row r="99">
          <cell r="D99">
            <v>1904.1</v>
          </cell>
          <cell r="S99">
            <v>296.12700000000001</v>
          </cell>
        </row>
        <row r="100">
          <cell r="D100">
            <v>1901.89</v>
          </cell>
          <cell r="S100">
            <v>295.33300000000003</v>
          </cell>
        </row>
        <row r="101">
          <cell r="D101">
            <v>1901.89</v>
          </cell>
          <cell r="S101">
            <v>294.512</v>
          </cell>
        </row>
        <row r="102">
          <cell r="D102">
            <v>1900.27</v>
          </cell>
          <cell r="S102">
            <v>294.089</v>
          </cell>
        </row>
        <row r="103">
          <cell r="D103">
            <v>1899.23</v>
          </cell>
          <cell r="S103">
            <v>297.10700000000003</v>
          </cell>
        </row>
        <row r="104">
          <cell r="D104">
            <v>1899</v>
          </cell>
          <cell r="S104">
            <v>295.27</v>
          </cell>
        </row>
        <row r="105">
          <cell r="D105">
            <v>1897.25</v>
          </cell>
          <cell r="S105">
            <v>293.32799999999997</v>
          </cell>
        </row>
        <row r="106">
          <cell r="D106">
            <v>1897.25</v>
          </cell>
          <cell r="S106">
            <v>291.97899999999998</v>
          </cell>
        </row>
        <row r="107">
          <cell r="D107">
            <v>1897.08</v>
          </cell>
          <cell r="S107">
            <v>291.75200000000001</v>
          </cell>
        </row>
        <row r="108">
          <cell r="D108">
            <v>1896.9</v>
          </cell>
          <cell r="S108">
            <v>294.49099999999999</v>
          </cell>
        </row>
        <row r="109">
          <cell r="D109">
            <v>1896.9</v>
          </cell>
          <cell r="S109">
            <v>294.68</v>
          </cell>
        </row>
        <row r="110">
          <cell r="D110">
            <v>1896.7</v>
          </cell>
          <cell r="S110">
            <v>291.88499999999999</v>
          </cell>
        </row>
        <row r="111">
          <cell r="D111">
            <v>1894</v>
          </cell>
          <cell r="S111">
            <v>293.94400000000002</v>
          </cell>
        </row>
        <row r="112">
          <cell r="D112">
            <v>1893.92</v>
          </cell>
          <cell r="S112">
            <v>292.18099999999998</v>
          </cell>
        </row>
        <row r="113">
          <cell r="D113">
            <v>1893.25</v>
          </cell>
          <cell r="S113">
            <v>293.875</v>
          </cell>
        </row>
        <row r="114">
          <cell r="D114">
            <v>1892.75</v>
          </cell>
          <cell r="S114">
            <v>295.17700000000002</v>
          </cell>
        </row>
        <row r="115">
          <cell r="D115">
            <v>1890</v>
          </cell>
          <cell r="S115">
            <v>290.78399999999999</v>
          </cell>
        </row>
        <row r="116">
          <cell r="D116">
            <v>1889</v>
          </cell>
          <cell r="S116">
            <v>292.51900000000001</v>
          </cell>
        </row>
        <row r="117">
          <cell r="D117">
            <v>1889</v>
          </cell>
          <cell r="S117">
            <v>292.43700000000001</v>
          </cell>
        </row>
        <row r="118">
          <cell r="D118">
            <v>1887.54</v>
          </cell>
          <cell r="S118">
            <v>294.25400000000002</v>
          </cell>
        </row>
        <row r="119">
          <cell r="D119">
            <v>1886.92</v>
          </cell>
          <cell r="S119">
            <v>289.88600000000002</v>
          </cell>
        </row>
        <row r="120">
          <cell r="D120">
            <v>1886.75</v>
          </cell>
          <cell r="S120">
            <v>290.37200000000001</v>
          </cell>
        </row>
        <row r="121">
          <cell r="D121">
            <v>1886.58</v>
          </cell>
          <cell r="S121">
            <v>291.07900000000001</v>
          </cell>
        </row>
        <row r="122">
          <cell r="D122">
            <v>1886</v>
          </cell>
          <cell r="S122">
            <v>288.18900000000002</v>
          </cell>
        </row>
        <row r="123">
          <cell r="D123">
            <v>1884.1</v>
          </cell>
          <cell r="S123">
            <v>289.89699999999999</v>
          </cell>
        </row>
        <row r="124">
          <cell r="D124">
            <v>1883.47</v>
          </cell>
          <cell r="S124">
            <v>292.45299999999997</v>
          </cell>
        </row>
        <row r="125">
          <cell r="D125">
            <v>1880.18</v>
          </cell>
          <cell r="S125">
            <v>287.637</v>
          </cell>
        </row>
        <row r="126">
          <cell r="D126">
            <v>1877.2</v>
          </cell>
          <cell r="S126">
            <v>289.23200000000003</v>
          </cell>
        </row>
        <row r="127">
          <cell r="D127">
            <v>1874.1</v>
          </cell>
          <cell r="S127">
            <v>291.61700000000002</v>
          </cell>
        </row>
        <row r="128">
          <cell r="D128">
            <v>1873</v>
          </cell>
          <cell r="S128">
            <v>286.72800000000001</v>
          </cell>
        </row>
        <row r="129">
          <cell r="D129">
            <v>1870.2</v>
          </cell>
          <cell r="S129">
            <v>286.19200000000001</v>
          </cell>
        </row>
        <row r="130">
          <cell r="D130">
            <v>1869.83</v>
          </cell>
          <cell r="S130">
            <v>287.995</v>
          </cell>
        </row>
        <row r="131">
          <cell r="D131">
            <v>1868.63</v>
          </cell>
          <cell r="S131">
            <v>288.81799999999998</v>
          </cell>
        </row>
        <row r="132">
          <cell r="D132">
            <v>1868.63</v>
          </cell>
          <cell r="S132">
            <v>288.22500000000002</v>
          </cell>
        </row>
        <row r="133">
          <cell r="D133">
            <v>1867</v>
          </cell>
          <cell r="S133">
            <v>284.78100000000001</v>
          </cell>
        </row>
        <row r="134">
          <cell r="D134">
            <v>1867</v>
          </cell>
          <cell r="S134">
            <v>285.46800000000002</v>
          </cell>
        </row>
        <row r="135">
          <cell r="D135">
            <v>1864.47</v>
          </cell>
          <cell r="S135">
            <v>286.52100000000002</v>
          </cell>
        </row>
        <row r="136">
          <cell r="D136">
            <v>1863.4</v>
          </cell>
          <cell r="S136">
            <v>285.48700000000002</v>
          </cell>
        </row>
        <row r="137">
          <cell r="D137">
            <v>1862.18</v>
          </cell>
          <cell r="S137">
            <v>287.16399999999999</v>
          </cell>
        </row>
        <row r="138">
          <cell r="D138">
            <v>1859.09</v>
          </cell>
          <cell r="S138">
            <v>286.77199999999999</v>
          </cell>
        </row>
        <row r="139">
          <cell r="D139">
            <v>1857.15</v>
          </cell>
          <cell r="S139">
            <v>283.02699999999999</v>
          </cell>
        </row>
        <row r="140">
          <cell r="D140">
            <v>1855</v>
          </cell>
          <cell r="S140">
            <v>285.55599999999998</v>
          </cell>
        </row>
        <row r="141">
          <cell r="D141">
            <v>1854</v>
          </cell>
          <cell r="S141">
            <v>288.113</v>
          </cell>
        </row>
        <row r="142">
          <cell r="D142">
            <v>1851.3</v>
          </cell>
          <cell r="S142">
            <v>285.46899999999999</v>
          </cell>
        </row>
        <row r="143">
          <cell r="D143">
            <v>1850.5</v>
          </cell>
          <cell r="S143">
            <v>283.86700000000002</v>
          </cell>
        </row>
        <row r="144">
          <cell r="D144">
            <v>1846</v>
          </cell>
          <cell r="S144">
            <v>282.86200000000002</v>
          </cell>
        </row>
        <row r="145">
          <cell r="D145">
            <v>1846</v>
          </cell>
          <cell r="S145">
            <v>284.52199999999999</v>
          </cell>
        </row>
        <row r="146">
          <cell r="D146">
            <v>1845.13</v>
          </cell>
          <cell r="S146">
            <v>283.048</v>
          </cell>
        </row>
        <row r="147">
          <cell r="D147">
            <v>1845</v>
          </cell>
          <cell r="S147">
            <v>283.39499999999998</v>
          </cell>
        </row>
        <row r="148">
          <cell r="D148">
            <v>1843.9</v>
          </cell>
          <cell r="S148">
            <v>282.04899999999998</v>
          </cell>
        </row>
        <row r="149">
          <cell r="D149">
            <v>1843.9</v>
          </cell>
          <cell r="S149">
            <v>280.84300000000002</v>
          </cell>
        </row>
        <row r="150">
          <cell r="D150">
            <v>1843</v>
          </cell>
          <cell r="S150">
            <v>282.70999999999998</v>
          </cell>
        </row>
        <row r="151">
          <cell r="D151">
            <v>1842.17</v>
          </cell>
          <cell r="S151">
            <v>282.82499999999999</v>
          </cell>
        </row>
        <row r="152">
          <cell r="D152">
            <v>1841</v>
          </cell>
          <cell r="S152">
            <v>283.64400000000001</v>
          </cell>
        </row>
        <row r="153">
          <cell r="D153">
            <v>1979.07</v>
          </cell>
          <cell r="S153">
            <v>335.53399999999999</v>
          </cell>
        </row>
        <row r="154">
          <cell r="D154">
            <v>1978.94</v>
          </cell>
          <cell r="S154">
            <v>332.358</v>
          </cell>
        </row>
        <row r="155">
          <cell r="D155">
            <v>1976.18</v>
          </cell>
          <cell r="S155">
            <v>331.53100000000001</v>
          </cell>
        </row>
        <row r="156">
          <cell r="D156">
            <v>1974</v>
          </cell>
          <cell r="S156">
            <v>328.39</v>
          </cell>
        </row>
        <row r="157">
          <cell r="D157">
            <v>1972.45</v>
          </cell>
          <cell r="S157">
            <v>326.39299999999997</v>
          </cell>
        </row>
        <row r="158">
          <cell r="D158">
            <v>1972.18</v>
          </cell>
          <cell r="S158">
            <v>326.52999999999997</v>
          </cell>
        </row>
        <row r="159">
          <cell r="D159">
            <v>1971.71</v>
          </cell>
          <cell r="S159">
            <v>324.54000000000002</v>
          </cell>
        </row>
        <row r="160">
          <cell r="D160">
            <v>1970.92</v>
          </cell>
          <cell r="S160">
            <v>325.50099999999998</v>
          </cell>
        </row>
        <row r="161">
          <cell r="D161">
            <v>1970.46</v>
          </cell>
          <cell r="S161">
            <v>325.03899999999999</v>
          </cell>
        </row>
        <row r="162">
          <cell r="D162">
            <v>1967.93</v>
          </cell>
          <cell r="S162">
            <v>322.26</v>
          </cell>
        </row>
        <row r="163">
          <cell r="D163">
            <v>1967.33</v>
          </cell>
          <cell r="S163">
            <v>320.86</v>
          </cell>
        </row>
        <row r="164">
          <cell r="D164">
            <v>1962.43</v>
          </cell>
          <cell r="S164">
            <v>317.23099999999999</v>
          </cell>
        </row>
        <row r="165">
          <cell r="D165">
            <v>1960.92</v>
          </cell>
          <cell r="S165">
            <v>311.87099999999998</v>
          </cell>
        </row>
        <row r="166">
          <cell r="D166">
            <v>1948.64</v>
          </cell>
          <cell r="S166">
            <v>310.35500000000002</v>
          </cell>
        </row>
        <row r="167">
          <cell r="D167">
            <v>1947.64</v>
          </cell>
          <cell r="S167">
            <v>310.96499999999997</v>
          </cell>
        </row>
        <row r="168">
          <cell r="D168">
            <v>1947.45</v>
          </cell>
          <cell r="S168">
            <v>310.80900000000003</v>
          </cell>
        </row>
        <row r="169">
          <cell r="D169">
            <v>1947</v>
          </cell>
          <cell r="S169">
            <v>310.33999999999997</v>
          </cell>
        </row>
        <row r="170">
          <cell r="D170">
            <v>1944</v>
          </cell>
          <cell r="S170">
            <v>311.80399999999997</v>
          </cell>
        </row>
        <row r="171">
          <cell r="D171">
            <v>1944</v>
          </cell>
          <cell r="S171">
            <v>313.7</v>
          </cell>
        </row>
        <row r="172">
          <cell r="D172">
            <v>1941.33</v>
          </cell>
          <cell r="S172">
            <v>310.94299999999998</v>
          </cell>
        </row>
        <row r="173">
          <cell r="D173">
            <v>1939.64</v>
          </cell>
          <cell r="S173">
            <v>312.02300000000002</v>
          </cell>
        </row>
        <row r="174">
          <cell r="D174">
            <v>1935.36</v>
          </cell>
          <cell r="S174">
            <v>309.62299999999999</v>
          </cell>
        </row>
        <row r="175">
          <cell r="D175">
            <v>1926</v>
          </cell>
          <cell r="S175">
            <v>303.73599999999999</v>
          </cell>
        </row>
        <row r="176">
          <cell r="D176">
            <v>1833</v>
          </cell>
          <cell r="S176">
            <v>285.08199999999999</v>
          </cell>
        </row>
        <row r="177">
          <cell r="D177">
            <v>1961.72</v>
          </cell>
          <cell r="S177">
            <v>316.49900000000002</v>
          </cell>
        </row>
        <row r="178">
          <cell r="D178">
            <v>1956.16</v>
          </cell>
          <cell r="S178">
            <v>314.35199999999998</v>
          </cell>
        </row>
        <row r="179">
          <cell r="D179">
            <v>1956.16</v>
          </cell>
          <cell r="S179">
            <v>315.435</v>
          </cell>
        </row>
        <row r="180">
          <cell r="D180">
            <v>1956.16</v>
          </cell>
          <cell r="S180">
            <v>315.935</v>
          </cell>
        </row>
        <row r="181">
          <cell r="D181">
            <v>1950.25</v>
          </cell>
          <cell r="S181">
            <v>311.99200000000002</v>
          </cell>
        </row>
        <row r="182">
          <cell r="D182">
            <v>1939.97</v>
          </cell>
          <cell r="S182">
            <v>309.738</v>
          </cell>
        </row>
        <row r="183">
          <cell r="D183">
            <v>1938.16</v>
          </cell>
          <cell r="S183">
            <v>308.47000000000003</v>
          </cell>
        </row>
        <row r="184">
          <cell r="D184">
            <v>1928.74</v>
          </cell>
          <cell r="S184">
            <v>305.71300000000002</v>
          </cell>
        </row>
        <row r="185">
          <cell r="D185">
            <v>1928.16</v>
          </cell>
          <cell r="S185">
            <v>305.654</v>
          </cell>
        </row>
        <row r="186">
          <cell r="D186">
            <v>1905.77</v>
          </cell>
          <cell r="S186">
            <v>299.548</v>
          </cell>
        </row>
        <row r="187">
          <cell r="D187">
            <v>1901.7</v>
          </cell>
          <cell r="S187">
            <v>297.12700000000001</v>
          </cell>
        </row>
        <row r="188">
          <cell r="D188">
            <v>1893.06</v>
          </cell>
          <cell r="S188">
            <v>295.31</v>
          </cell>
        </row>
        <row r="189">
          <cell r="D189">
            <v>1884.18</v>
          </cell>
          <cell r="S189">
            <v>289.363</v>
          </cell>
        </row>
        <row r="190">
          <cell r="D190">
            <v>1867.73</v>
          </cell>
          <cell r="S190">
            <v>288.13200000000001</v>
          </cell>
        </row>
        <row r="191">
          <cell r="D191">
            <v>1850.83</v>
          </cell>
          <cell r="S191">
            <v>288.92700000000002</v>
          </cell>
        </row>
        <row r="192">
          <cell r="D192">
            <v>1847.32</v>
          </cell>
          <cell r="S192">
            <v>286.83</v>
          </cell>
        </row>
        <row r="193">
          <cell r="D193">
            <v>1836.7</v>
          </cell>
          <cell r="S193">
            <v>284.28500000000003</v>
          </cell>
        </row>
        <row r="194">
          <cell r="D194">
            <v>1833.18</v>
          </cell>
          <cell r="S194">
            <v>283.95299999999997</v>
          </cell>
        </row>
        <row r="195">
          <cell r="D195">
            <v>1826.92</v>
          </cell>
          <cell r="S195">
            <v>285.89999999999998</v>
          </cell>
        </row>
        <row r="196">
          <cell r="D196">
            <v>1824.75</v>
          </cell>
          <cell r="S196">
            <v>281.49299999999999</v>
          </cell>
        </row>
        <row r="197">
          <cell r="D197">
            <v>1813.66</v>
          </cell>
          <cell r="S197">
            <v>284.56400000000002</v>
          </cell>
        </row>
        <row r="198">
          <cell r="D198">
            <v>1799.34</v>
          </cell>
          <cell r="S198">
            <v>284.36099999999999</v>
          </cell>
        </row>
        <row r="199">
          <cell r="D199">
            <v>1799.34</v>
          </cell>
          <cell r="S199">
            <v>281.36200000000002</v>
          </cell>
        </row>
        <row r="200">
          <cell r="D200">
            <v>1796.47</v>
          </cell>
          <cell r="S200">
            <v>279.416</v>
          </cell>
        </row>
        <row r="201">
          <cell r="D201">
            <v>1795.94</v>
          </cell>
          <cell r="S201">
            <v>282.298</v>
          </cell>
        </row>
        <row r="202">
          <cell r="D202">
            <v>1794.1</v>
          </cell>
          <cell r="S202">
            <v>281.75</v>
          </cell>
        </row>
        <row r="203">
          <cell r="D203">
            <v>1780.3</v>
          </cell>
          <cell r="S203">
            <v>273.21199999999999</v>
          </cell>
        </row>
        <row r="204">
          <cell r="D204">
            <v>1779.49</v>
          </cell>
          <cell r="S204">
            <v>280.22899999999998</v>
          </cell>
        </row>
        <row r="205">
          <cell r="D205">
            <v>1773.46</v>
          </cell>
          <cell r="S205">
            <v>277.988</v>
          </cell>
        </row>
        <row r="206">
          <cell r="D206">
            <v>1763.7</v>
          </cell>
          <cell r="S206">
            <v>276.52800000000002</v>
          </cell>
        </row>
        <row r="207">
          <cell r="D207">
            <v>1762.88</v>
          </cell>
          <cell r="S207">
            <v>277.15600000000001</v>
          </cell>
        </row>
        <row r="208">
          <cell r="D208">
            <v>1752.13</v>
          </cell>
          <cell r="S208">
            <v>277.99400000000003</v>
          </cell>
        </row>
        <row r="209">
          <cell r="D209">
            <v>1752.13</v>
          </cell>
          <cell r="S209">
            <v>276.589</v>
          </cell>
        </row>
        <row r="210">
          <cell r="D210">
            <v>1749.12</v>
          </cell>
          <cell r="S210">
            <v>277.58999999999997</v>
          </cell>
        </row>
        <row r="211">
          <cell r="D211">
            <v>1741.26</v>
          </cell>
          <cell r="S211">
            <v>276.94099999999997</v>
          </cell>
        </row>
        <row r="212">
          <cell r="D212">
            <v>1733.99</v>
          </cell>
          <cell r="S212">
            <v>278.44299999999998</v>
          </cell>
        </row>
        <row r="213">
          <cell r="D213">
            <v>1723.01</v>
          </cell>
          <cell r="S213">
            <v>277.14499999999998</v>
          </cell>
        </row>
        <row r="214">
          <cell r="D214">
            <v>1722.86</v>
          </cell>
          <cell r="S214">
            <v>278.26400000000001</v>
          </cell>
        </row>
        <row r="215">
          <cell r="D215">
            <v>1693.91</v>
          </cell>
          <cell r="S215">
            <v>277.35000000000002</v>
          </cell>
        </row>
        <row r="216">
          <cell r="D216">
            <v>1689.74</v>
          </cell>
          <cell r="S216">
            <v>276.45600000000002</v>
          </cell>
        </row>
        <row r="217">
          <cell r="D217">
            <v>1681.89</v>
          </cell>
          <cell r="S217">
            <v>276.654</v>
          </cell>
        </row>
        <row r="218">
          <cell r="D218">
            <v>1649.1</v>
          </cell>
          <cell r="S218">
            <v>278.00799999999998</v>
          </cell>
        </row>
        <row r="219">
          <cell r="D219">
            <v>1639.81</v>
          </cell>
          <cell r="S219">
            <v>276.81900000000002</v>
          </cell>
        </row>
        <row r="220">
          <cell r="D220">
            <v>1628.6</v>
          </cell>
          <cell r="S220">
            <v>273.92</v>
          </cell>
        </row>
        <row r="221">
          <cell r="D221">
            <v>1609.46</v>
          </cell>
          <cell r="S221">
            <v>271.24700000000001</v>
          </cell>
        </row>
        <row r="222">
          <cell r="D222">
            <v>1603.42</v>
          </cell>
          <cell r="S222">
            <v>275.05900000000003</v>
          </cell>
        </row>
        <row r="223">
          <cell r="D223">
            <v>1590.99</v>
          </cell>
          <cell r="S223">
            <v>279.351</v>
          </cell>
        </row>
        <row r="224">
          <cell r="D224">
            <v>1588.18</v>
          </cell>
          <cell r="S224">
            <v>281.24099999999999</v>
          </cell>
        </row>
        <row r="225">
          <cell r="D225">
            <v>1573.01</v>
          </cell>
          <cell r="S225">
            <v>282.46699999999998</v>
          </cell>
        </row>
        <row r="226">
          <cell r="D226">
            <v>1559.86</v>
          </cell>
          <cell r="S226">
            <v>281.96199999999999</v>
          </cell>
        </row>
        <row r="227">
          <cell r="D227">
            <v>1549.65</v>
          </cell>
          <cell r="S227">
            <v>283.52300000000002</v>
          </cell>
        </row>
        <row r="228">
          <cell r="D228">
            <v>1529.68</v>
          </cell>
          <cell r="S228">
            <v>283.846</v>
          </cell>
        </row>
        <row r="229">
          <cell r="D229">
            <v>1501.53</v>
          </cell>
          <cell r="S229">
            <v>283.11900000000003</v>
          </cell>
        </row>
        <row r="230">
          <cell r="D230">
            <v>1469.4</v>
          </cell>
          <cell r="S230">
            <v>280.20499999999998</v>
          </cell>
        </row>
        <row r="231">
          <cell r="D231">
            <v>1449.16</v>
          </cell>
          <cell r="S231">
            <v>282.37099999999998</v>
          </cell>
        </row>
        <row r="232">
          <cell r="D232">
            <v>1428.8</v>
          </cell>
          <cell r="S232">
            <v>279.86099999999999</v>
          </cell>
        </row>
        <row r="233">
          <cell r="D233">
            <v>1410.86</v>
          </cell>
          <cell r="S233">
            <v>279.82900000000001</v>
          </cell>
        </row>
        <row r="234">
          <cell r="D234">
            <v>1390.33</v>
          </cell>
          <cell r="S234">
            <v>280.68599999999998</v>
          </cell>
        </row>
        <row r="235">
          <cell r="D235">
            <v>1390.33</v>
          </cell>
          <cell r="S235">
            <v>281.12700000000001</v>
          </cell>
        </row>
        <row r="236">
          <cell r="D236">
            <v>1348.85</v>
          </cell>
          <cell r="S236">
            <v>278.50099999999998</v>
          </cell>
        </row>
        <row r="237">
          <cell r="D237">
            <v>1330.12</v>
          </cell>
          <cell r="S237">
            <v>283.96600000000001</v>
          </cell>
        </row>
        <row r="238">
          <cell r="D238">
            <v>1307.45</v>
          </cell>
          <cell r="S238">
            <v>281.71100000000001</v>
          </cell>
        </row>
        <row r="239">
          <cell r="D239">
            <v>1278.2</v>
          </cell>
          <cell r="S239">
            <v>278.57100000000003</v>
          </cell>
        </row>
        <row r="240">
          <cell r="D240">
            <v>1259.51</v>
          </cell>
          <cell r="S240">
            <v>282.33199999999999</v>
          </cell>
        </row>
        <row r="241">
          <cell r="D241">
            <v>1251.27</v>
          </cell>
          <cell r="S241">
            <v>282.30900000000003</v>
          </cell>
        </row>
        <row r="242">
          <cell r="D242">
            <v>1210.96</v>
          </cell>
          <cell r="S242">
            <v>283.82100000000003</v>
          </cell>
        </row>
        <row r="243">
          <cell r="D243">
            <v>1199.81</v>
          </cell>
          <cell r="S243">
            <v>284.43900000000002</v>
          </cell>
        </row>
        <row r="244">
          <cell r="D244">
            <v>1165.98</v>
          </cell>
          <cell r="S244">
            <v>284.09899999999999</v>
          </cell>
        </row>
        <row r="245">
          <cell r="D245">
            <v>1146.29</v>
          </cell>
          <cell r="S245">
            <v>284.40899999999999</v>
          </cell>
        </row>
        <row r="246">
          <cell r="D246">
            <v>1115.94</v>
          </cell>
          <cell r="S246">
            <v>282.97399999999999</v>
          </cell>
        </row>
        <row r="247">
          <cell r="D247">
            <v>1099.4100000000001</v>
          </cell>
          <cell r="S247">
            <v>282.99200000000002</v>
          </cell>
        </row>
        <row r="248">
          <cell r="D248">
            <v>1070.2</v>
          </cell>
          <cell r="S248">
            <v>282.97699999999998</v>
          </cell>
        </row>
        <row r="249">
          <cell r="D249">
            <v>1049.18</v>
          </cell>
          <cell r="S249">
            <v>280.95999999999998</v>
          </cell>
        </row>
        <row r="250">
          <cell r="D250">
            <v>1040.08</v>
          </cell>
          <cell r="S250">
            <v>281.04899999999998</v>
          </cell>
        </row>
        <row r="251">
          <cell r="D251">
            <v>1019.27</v>
          </cell>
          <cell r="S251">
            <v>279.95800000000003</v>
          </cell>
        </row>
        <row r="252">
          <cell r="D252">
            <v>1017.58</v>
          </cell>
          <cell r="S252">
            <v>279.90699999999998</v>
          </cell>
        </row>
        <row r="253">
          <cell r="D253">
            <v>982.65</v>
          </cell>
          <cell r="S253">
            <v>278.87200000000001</v>
          </cell>
        </row>
        <row r="254">
          <cell r="D254">
            <v>957.65</v>
          </cell>
          <cell r="S254">
            <v>277.54599999999999</v>
          </cell>
        </row>
        <row r="255">
          <cell r="D255">
            <v>914.45</v>
          </cell>
          <cell r="S255">
            <v>280.154</v>
          </cell>
        </row>
        <row r="256">
          <cell r="D256">
            <v>875.41</v>
          </cell>
          <cell r="S256">
            <v>279.553</v>
          </cell>
        </row>
        <row r="257">
          <cell r="D257">
            <v>822.33</v>
          </cell>
          <cell r="S257">
            <v>278.755</v>
          </cell>
        </row>
        <row r="258">
          <cell r="D258">
            <v>793.1</v>
          </cell>
          <cell r="S258">
            <v>279.774</v>
          </cell>
        </row>
        <row r="259">
          <cell r="D259">
            <v>762.3</v>
          </cell>
          <cell r="S259">
            <v>279.34199999999998</v>
          </cell>
        </row>
        <row r="260">
          <cell r="D260">
            <v>730.43</v>
          </cell>
          <cell r="S260">
            <v>280.12799999999999</v>
          </cell>
        </row>
        <row r="261">
          <cell r="D261">
            <v>701.25</v>
          </cell>
          <cell r="S261">
            <v>277.23700000000002</v>
          </cell>
        </row>
        <row r="262">
          <cell r="D262">
            <v>669.18</v>
          </cell>
          <cell r="S262">
            <v>278.59300000000002</v>
          </cell>
        </row>
        <row r="263">
          <cell r="D263">
            <v>637</v>
          </cell>
          <cell r="S263">
            <v>279.726</v>
          </cell>
        </row>
        <row r="264">
          <cell r="D264">
            <v>614.52</v>
          </cell>
          <cell r="S264">
            <v>278.00700000000001</v>
          </cell>
        </row>
        <row r="265">
          <cell r="D265">
            <v>582.41</v>
          </cell>
          <cell r="S265">
            <v>276.334</v>
          </cell>
        </row>
        <row r="266">
          <cell r="D266">
            <v>557.47</v>
          </cell>
          <cell r="S266">
            <v>278.46199999999999</v>
          </cell>
        </row>
        <row r="267">
          <cell r="D267">
            <v>551.62</v>
          </cell>
          <cell r="S267">
            <v>276.697</v>
          </cell>
        </row>
        <row r="268">
          <cell r="D268">
            <v>517.96</v>
          </cell>
          <cell r="S268">
            <v>276.92099999999999</v>
          </cell>
        </row>
        <row r="269">
          <cell r="D269">
            <v>488.43</v>
          </cell>
          <cell r="S269">
            <v>277.24299999999999</v>
          </cell>
        </row>
        <row r="270">
          <cell r="D270">
            <v>436.94</v>
          </cell>
          <cell r="S270">
            <v>280.13799999999998</v>
          </cell>
        </row>
        <row r="271">
          <cell r="D271">
            <v>406.36</v>
          </cell>
          <cell r="S271">
            <v>279.26299999999998</v>
          </cell>
        </row>
        <row r="272">
          <cell r="D272">
            <v>384.23</v>
          </cell>
          <cell r="S272">
            <v>277.38499999999999</v>
          </cell>
        </row>
        <row r="273">
          <cell r="D273">
            <v>357.33</v>
          </cell>
          <cell r="S273">
            <v>277.93299999999999</v>
          </cell>
        </row>
        <row r="274">
          <cell r="D274">
            <v>317.55</v>
          </cell>
          <cell r="S274">
            <v>281.83</v>
          </cell>
        </row>
        <row r="275">
          <cell r="D275">
            <v>295.60000000000002</v>
          </cell>
          <cell r="S275">
            <v>281.04399999999998</v>
          </cell>
        </row>
        <row r="276">
          <cell r="D276">
            <v>274.44</v>
          </cell>
          <cell r="S276">
            <v>280.24299999999999</v>
          </cell>
        </row>
        <row r="277">
          <cell r="D277">
            <v>266.10000000000002</v>
          </cell>
          <cell r="S277">
            <v>278.44900000000001</v>
          </cell>
        </row>
        <row r="278">
          <cell r="D278">
            <v>240.6</v>
          </cell>
          <cell r="S278">
            <v>280.38400000000001</v>
          </cell>
        </row>
        <row r="279">
          <cell r="D279">
            <v>174.53</v>
          </cell>
          <cell r="S279">
            <v>277.69</v>
          </cell>
        </row>
        <row r="280">
          <cell r="D280">
            <v>153.53</v>
          </cell>
          <cell r="S280">
            <v>278.20699999999999</v>
          </cell>
        </row>
        <row r="281">
          <cell r="D281">
            <v>1957.8</v>
          </cell>
          <cell r="S281">
            <v>314.20600000000002</v>
          </cell>
        </row>
        <row r="282">
          <cell r="D282">
            <v>1939.1</v>
          </cell>
          <cell r="S282">
            <v>306.72699999999998</v>
          </cell>
        </row>
        <row r="283">
          <cell r="D283">
            <v>1907.2</v>
          </cell>
          <cell r="S283">
            <v>295.44200000000001</v>
          </cell>
        </row>
        <row r="284">
          <cell r="D284">
            <v>1896.9</v>
          </cell>
          <cell r="S284">
            <v>297.32600000000002</v>
          </cell>
        </row>
        <row r="285">
          <cell r="D285">
            <v>1894.1</v>
          </cell>
          <cell r="S285">
            <v>291.89800000000002</v>
          </cell>
        </row>
        <row r="286">
          <cell r="D286">
            <v>1862.5</v>
          </cell>
          <cell r="S286">
            <v>282.97199999999998</v>
          </cell>
        </row>
        <row r="287">
          <cell r="D287">
            <v>1859.1</v>
          </cell>
          <cell r="S287">
            <v>284.86799999999999</v>
          </cell>
        </row>
        <row r="288">
          <cell r="D288">
            <v>1855.2</v>
          </cell>
          <cell r="S288">
            <v>283.33199999999999</v>
          </cell>
        </row>
        <row r="289">
          <cell r="D289">
            <v>1852.2</v>
          </cell>
          <cell r="S289">
            <v>283.976</v>
          </cell>
        </row>
        <row r="290">
          <cell r="D290">
            <v>1847.7</v>
          </cell>
          <cell r="S290">
            <v>283.63400000000001</v>
          </cell>
        </row>
        <row r="291">
          <cell r="D291">
            <v>1837.6</v>
          </cell>
          <cell r="S291">
            <v>282.613</v>
          </cell>
        </row>
        <row r="292">
          <cell r="D292">
            <v>1825.5</v>
          </cell>
          <cell r="S292">
            <v>281.77699999999999</v>
          </cell>
        </row>
        <row r="293">
          <cell r="D293">
            <v>1817.1</v>
          </cell>
          <cell r="S293">
            <v>280.88499999999999</v>
          </cell>
        </row>
        <row r="294">
          <cell r="D294">
            <v>1810.2</v>
          </cell>
          <cell r="S294">
            <v>281.09899999999999</v>
          </cell>
        </row>
        <row r="295">
          <cell r="D295">
            <v>1796</v>
          </cell>
          <cell r="S295">
            <v>279.33699999999999</v>
          </cell>
        </row>
        <row r="296">
          <cell r="D296">
            <v>1775</v>
          </cell>
          <cell r="S296">
            <v>277.72699999999998</v>
          </cell>
        </row>
        <row r="297">
          <cell r="D297">
            <v>1760</v>
          </cell>
          <cell r="S297">
            <v>276.62599999999998</v>
          </cell>
        </row>
        <row r="298">
          <cell r="D298">
            <v>1746</v>
          </cell>
          <cell r="S298">
            <v>275.36799999999999</v>
          </cell>
        </row>
        <row r="299">
          <cell r="D299">
            <v>1719</v>
          </cell>
          <cell r="S299">
            <v>276.39800000000002</v>
          </cell>
        </row>
        <row r="300">
          <cell r="D300">
            <v>1710</v>
          </cell>
          <cell r="S300">
            <v>276.29399999999998</v>
          </cell>
        </row>
        <row r="301">
          <cell r="D301">
            <v>1703</v>
          </cell>
          <cell r="S301">
            <v>275.04399999999998</v>
          </cell>
        </row>
      </sheetData>
      <sheetData sheetId="3">
        <row r="3">
          <cell r="AO3">
            <v>1996.332148</v>
          </cell>
          <cell r="AP3">
            <v>359.86666666666662</v>
          </cell>
          <cell r="CG3">
            <v>1993.08</v>
          </cell>
          <cell r="CH3">
            <v>354.565</v>
          </cell>
        </row>
        <row r="4">
          <cell r="AO4">
            <v>1994.6383269999999</v>
          </cell>
          <cell r="AP4">
            <v>357.24</v>
          </cell>
          <cell r="CG4">
            <v>1991.956406</v>
          </cell>
          <cell r="CH4">
            <v>352.61</v>
          </cell>
        </row>
        <row r="5">
          <cell r="AO5">
            <v>1991.987044</v>
          </cell>
          <cell r="AP5">
            <v>353.88499999999999</v>
          </cell>
          <cell r="CG5">
            <v>1991.343337</v>
          </cell>
          <cell r="CH5">
            <v>352.02</v>
          </cell>
        </row>
        <row r="6">
          <cell r="AO6">
            <v>1989.2668699999999</v>
          </cell>
          <cell r="AP6">
            <v>349.92</v>
          </cell>
          <cell r="CG6">
            <v>1990.762567</v>
          </cell>
          <cell r="CH6">
            <v>351.34999999999997</v>
          </cell>
        </row>
        <row r="7">
          <cell r="AO7">
            <v>1983.2756710000001</v>
          </cell>
          <cell r="AP7">
            <v>341.44499999999999</v>
          </cell>
          <cell r="CG7">
            <v>1989.737568</v>
          </cell>
          <cell r="CH7">
            <v>349.76</v>
          </cell>
        </row>
        <row r="8">
          <cell r="AO8">
            <v>1970.0564529999999</v>
          </cell>
          <cell r="AP8">
            <v>325.0025</v>
          </cell>
          <cell r="CG8">
            <v>1988.8763329999999</v>
          </cell>
          <cell r="CH8">
            <v>347.83</v>
          </cell>
        </row>
        <row r="9">
          <cell r="AO9">
            <v>1956.494731</v>
          </cell>
          <cell r="AP9">
            <v>316.45249999999999</v>
          </cell>
          <cell r="CG9">
            <v>1988.084852</v>
          </cell>
          <cell r="CH9">
            <v>346.45</v>
          </cell>
        </row>
        <row r="10">
          <cell r="AO10">
            <v>1939.3447040000001</v>
          </cell>
          <cell r="AP10">
            <v>312.40000000000003</v>
          </cell>
          <cell r="CG10">
            <v>1987.525351</v>
          </cell>
          <cell r="CH10">
            <v>345.34249999999997</v>
          </cell>
        </row>
        <row r="11">
          <cell r="CG11">
            <v>1987.1031149999999</v>
          </cell>
          <cell r="CH11">
            <v>344.6</v>
          </cell>
        </row>
        <row r="12">
          <cell r="CG12">
            <v>1986.7808439999999</v>
          </cell>
          <cell r="CH12">
            <v>343.86666666666662</v>
          </cell>
        </row>
        <row r="13">
          <cell r="CG13">
            <v>1985.9733590000001</v>
          </cell>
          <cell r="CH13">
            <v>342.66999999999996</v>
          </cell>
        </row>
        <row r="14">
          <cell r="CG14">
            <v>1984.114536</v>
          </cell>
          <cell r="CH14">
            <v>339.57499999999999</v>
          </cell>
        </row>
        <row r="15">
          <cell r="CG15">
            <v>1980.1335819999999</v>
          </cell>
          <cell r="CH15">
            <v>335.47</v>
          </cell>
        </row>
        <row r="16">
          <cell r="CG16">
            <v>1977.001491</v>
          </cell>
          <cell r="CH16">
            <v>332.61</v>
          </cell>
        </row>
      </sheetData>
      <sheetData sheetId="4" refreshError="1"/>
      <sheetData sheetId="5">
        <row r="2">
          <cell r="D2">
            <v>1973.92</v>
          </cell>
          <cell r="S2">
            <v>1417.095</v>
          </cell>
        </row>
        <row r="3">
          <cell r="D3">
            <v>1970.69</v>
          </cell>
          <cell r="S3">
            <v>1372.9349999999999</v>
          </cell>
        </row>
        <row r="4">
          <cell r="D4">
            <v>1970.13</v>
          </cell>
          <cell r="S4">
            <v>1367.2550000000001</v>
          </cell>
        </row>
        <row r="5">
          <cell r="D5">
            <v>1969.85</v>
          </cell>
          <cell r="S5">
            <v>1352.502</v>
          </cell>
        </row>
        <row r="6">
          <cell r="D6">
            <v>1968.07</v>
          </cell>
          <cell r="S6">
            <v>1335.269</v>
          </cell>
        </row>
        <row r="7">
          <cell r="D7">
            <v>1966.67</v>
          </cell>
          <cell r="S7">
            <v>1300.0340000000001</v>
          </cell>
        </row>
        <row r="8">
          <cell r="D8">
            <v>1966.6</v>
          </cell>
          <cell r="S8">
            <v>1293.194</v>
          </cell>
        </row>
        <row r="9">
          <cell r="D9">
            <v>1964.86</v>
          </cell>
          <cell r="S9">
            <v>1277.163</v>
          </cell>
        </row>
        <row r="10">
          <cell r="D10">
            <v>1964.5</v>
          </cell>
          <cell r="S10">
            <v>1274.027</v>
          </cell>
        </row>
        <row r="11">
          <cell r="D11">
            <v>1963.93</v>
          </cell>
          <cell r="S11">
            <v>1273.3219999999999</v>
          </cell>
        </row>
        <row r="12">
          <cell r="D12">
            <v>1963.93</v>
          </cell>
          <cell r="S12">
            <v>1268.2860000000001</v>
          </cell>
        </row>
        <row r="13">
          <cell r="D13">
            <v>1963.86</v>
          </cell>
          <cell r="S13">
            <v>1263.0260000000001</v>
          </cell>
        </row>
        <row r="14">
          <cell r="D14">
            <v>1963.71</v>
          </cell>
          <cell r="S14">
            <v>1287.816</v>
          </cell>
        </row>
        <row r="15">
          <cell r="D15">
            <v>1963.64</v>
          </cell>
          <cell r="S15">
            <v>1275.299</v>
          </cell>
        </row>
        <row r="16">
          <cell r="D16">
            <v>1961.71</v>
          </cell>
          <cell r="S16">
            <v>1227.7919999999999</v>
          </cell>
        </row>
        <row r="17">
          <cell r="D17">
            <v>1959.9</v>
          </cell>
          <cell r="S17">
            <v>1213.556</v>
          </cell>
        </row>
        <row r="18">
          <cell r="D18">
            <v>1959</v>
          </cell>
          <cell r="S18">
            <v>1207.4870000000001</v>
          </cell>
        </row>
        <row r="19">
          <cell r="D19">
            <v>1958.2</v>
          </cell>
          <cell r="S19">
            <v>1208.566</v>
          </cell>
        </row>
        <row r="20">
          <cell r="D20">
            <v>1958</v>
          </cell>
          <cell r="S20">
            <v>1189.568</v>
          </cell>
        </row>
        <row r="21">
          <cell r="D21">
            <v>1958</v>
          </cell>
          <cell r="S21">
            <v>1204.1590000000001</v>
          </cell>
        </row>
        <row r="22">
          <cell r="D22">
            <v>1956.33</v>
          </cell>
          <cell r="S22">
            <v>1177.2059999999999</v>
          </cell>
        </row>
        <row r="23">
          <cell r="D23">
            <v>1956.33</v>
          </cell>
          <cell r="S23">
            <v>1185.855</v>
          </cell>
        </row>
        <row r="24">
          <cell r="D24">
            <v>1956</v>
          </cell>
          <cell r="S24">
            <v>1177.903</v>
          </cell>
        </row>
        <row r="25">
          <cell r="D25">
            <v>1956</v>
          </cell>
          <cell r="S25">
            <v>1166.327</v>
          </cell>
        </row>
        <row r="26">
          <cell r="D26">
            <v>1955.13</v>
          </cell>
          <cell r="S26">
            <v>1156.867</v>
          </cell>
        </row>
        <row r="27">
          <cell r="D27">
            <v>1955.07</v>
          </cell>
          <cell r="S27">
            <v>1152.9690000000001</v>
          </cell>
        </row>
        <row r="28">
          <cell r="D28">
            <v>1954.93</v>
          </cell>
          <cell r="S28">
            <v>1159.3119999999999</v>
          </cell>
        </row>
        <row r="29">
          <cell r="D29">
            <v>1954.93</v>
          </cell>
          <cell r="S29">
            <v>1154.086</v>
          </cell>
        </row>
        <row r="30">
          <cell r="D30">
            <v>1953.9</v>
          </cell>
          <cell r="S30">
            <v>1152.758</v>
          </cell>
        </row>
        <row r="31">
          <cell r="D31">
            <v>1951</v>
          </cell>
          <cell r="S31">
            <v>1121.201</v>
          </cell>
        </row>
        <row r="32">
          <cell r="D32">
            <v>1949.93</v>
          </cell>
          <cell r="S32">
            <v>1097.4179999999999</v>
          </cell>
        </row>
        <row r="33">
          <cell r="D33">
            <v>1949.07</v>
          </cell>
          <cell r="S33">
            <v>1112.124</v>
          </cell>
        </row>
        <row r="34">
          <cell r="D34">
            <v>1948</v>
          </cell>
          <cell r="S34">
            <v>1106.069</v>
          </cell>
        </row>
        <row r="35">
          <cell r="D35">
            <v>1948</v>
          </cell>
          <cell r="S35">
            <v>1112.0730000000001</v>
          </cell>
        </row>
        <row r="36">
          <cell r="D36">
            <v>1947.08</v>
          </cell>
          <cell r="S36">
            <v>1096.713</v>
          </cell>
        </row>
        <row r="37">
          <cell r="D37">
            <v>1946.18</v>
          </cell>
          <cell r="S37">
            <v>1123.374</v>
          </cell>
        </row>
        <row r="38">
          <cell r="D38">
            <v>1945.91</v>
          </cell>
          <cell r="S38">
            <v>1094.296</v>
          </cell>
        </row>
        <row r="39">
          <cell r="D39">
            <v>1944.92</v>
          </cell>
          <cell r="S39">
            <v>1090.4739999999999</v>
          </cell>
        </row>
        <row r="40">
          <cell r="D40">
            <v>1943.55</v>
          </cell>
          <cell r="S40">
            <v>1090.0229999999999</v>
          </cell>
        </row>
        <row r="41">
          <cell r="D41">
            <v>1943.55</v>
          </cell>
          <cell r="S41">
            <v>1089.904</v>
          </cell>
        </row>
        <row r="42">
          <cell r="D42">
            <v>1943.09</v>
          </cell>
          <cell r="S42">
            <v>1083.7619999999999</v>
          </cell>
        </row>
        <row r="43">
          <cell r="D43">
            <v>1943.09</v>
          </cell>
          <cell r="S43">
            <v>1085.3969999999999</v>
          </cell>
        </row>
        <row r="44">
          <cell r="D44">
            <v>1942</v>
          </cell>
          <cell r="S44">
            <v>1087.1199999999999</v>
          </cell>
        </row>
        <row r="45">
          <cell r="D45">
            <v>1941.92</v>
          </cell>
          <cell r="S45">
            <v>1080.3130000000001</v>
          </cell>
        </row>
        <row r="46">
          <cell r="D46">
            <v>1940.36</v>
          </cell>
          <cell r="S46">
            <v>1071.8130000000001</v>
          </cell>
        </row>
        <row r="47">
          <cell r="D47">
            <v>1940.36</v>
          </cell>
          <cell r="S47">
            <v>1073.2270000000001</v>
          </cell>
        </row>
        <row r="48">
          <cell r="D48">
            <v>1940.09</v>
          </cell>
          <cell r="S48">
            <v>1084.684</v>
          </cell>
        </row>
        <row r="49">
          <cell r="D49">
            <v>1940.09</v>
          </cell>
          <cell r="S49">
            <v>1071.9349999999999</v>
          </cell>
        </row>
        <row r="50">
          <cell r="D50">
            <v>1939.92</v>
          </cell>
          <cell r="S50">
            <v>1070.117</v>
          </cell>
        </row>
        <row r="51">
          <cell r="D51">
            <v>1939</v>
          </cell>
          <cell r="S51">
            <v>1073.2360000000001</v>
          </cell>
        </row>
        <row r="52">
          <cell r="D52">
            <v>1939</v>
          </cell>
          <cell r="S52">
            <v>1071.902</v>
          </cell>
        </row>
        <row r="53">
          <cell r="D53">
            <v>1938.08</v>
          </cell>
          <cell r="S53">
            <v>1060.6880000000001</v>
          </cell>
        </row>
        <row r="54">
          <cell r="D54">
            <v>1938.08</v>
          </cell>
          <cell r="S54">
            <v>1060.5840000000001</v>
          </cell>
        </row>
        <row r="55">
          <cell r="D55">
            <v>1937.15</v>
          </cell>
          <cell r="S55">
            <v>1070.432</v>
          </cell>
        </row>
        <row r="56">
          <cell r="D56">
            <v>1937.15</v>
          </cell>
          <cell r="S56">
            <v>1062.0309999999999</v>
          </cell>
        </row>
        <row r="57">
          <cell r="D57">
            <v>1937</v>
          </cell>
          <cell r="S57">
            <v>1056.787</v>
          </cell>
        </row>
        <row r="58">
          <cell r="D58">
            <v>1935</v>
          </cell>
          <cell r="S58">
            <v>1049.1300000000001</v>
          </cell>
        </row>
        <row r="59">
          <cell r="D59">
            <v>1935</v>
          </cell>
          <cell r="S59">
            <v>1049.52</v>
          </cell>
        </row>
        <row r="60">
          <cell r="D60">
            <v>1935</v>
          </cell>
          <cell r="S60">
            <v>1054.3030000000001</v>
          </cell>
        </row>
        <row r="61">
          <cell r="D61">
            <v>1934.23</v>
          </cell>
          <cell r="S61">
            <v>1044.9960000000001</v>
          </cell>
        </row>
        <row r="62">
          <cell r="D62">
            <v>1934</v>
          </cell>
          <cell r="S62">
            <v>1042.2660000000001</v>
          </cell>
        </row>
        <row r="63">
          <cell r="D63">
            <v>1933.7</v>
          </cell>
          <cell r="S63">
            <v>1034.953</v>
          </cell>
        </row>
        <row r="64">
          <cell r="D64">
            <v>1932.15</v>
          </cell>
          <cell r="S64">
            <v>1037.4069999999999</v>
          </cell>
        </row>
        <row r="65">
          <cell r="D65">
            <v>1932.15</v>
          </cell>
          <cell r="S65">
            <v>1034.123</v>
          </cell>
        </row>
        <row r="66">
          <cell r="D66">
            <v>1931.11</v>
          </cell>
          <cell r="S66">
            <v>1027.925</v>
          </cell>
        </row>
        <row r="67">
          <cell r="D67">
            <v>1930.06</v>
          </cell>
          <cell r="S67">
            <v>1024.45</v>
          </cell>
        </row>
        <row r="68">
          <cell r="D68">
            <v>1929.33</v>
          </cell>
          <cell r="S68">
            <v>1027.346</v>
          </cell>
        </row>
        <row r="69">
          <cell r="D69">
            <v>1929.33</v>
          </cell>
          <cell r="S69">
            <v>1027.5429999999999</v>
          </cell>
        </row>
        <row r="70">
          <cell r="D70">
            <v>1927.11</v>
          </cell>
          <cell r="S70">
            <v>1019.8920000000001</v>
          </cell>
        </row>
        <row r="71">
          <cell r="D71">
            <v>1927.11</v>
          </cell>
          <cell r="S71">
            <v>997.83500000000004</v>
          </cell>
        </row>
        <row r="72">
          <cell r="D72">
            <v>1926.9</v>
          </cell>
          <cell r="S72">
            <v>991.91</v>
          </cell>
        </row>
        <row r="73">
          <cell r="D73">
            <v>1926.2</v>
          </cell>
          <cell r="S73">
            <v>1000.337</v>
          </cell>
        </row>
        <row r="74">
          <cell r="D74">
            <v>1926.2</v>
          </cell>
          <cell r="S74">
            <v>1002.725</v>
          </cell>
        </row>
        <row r="75">
          <cell r="D75">
            <v>1924.13</v>
          </cell>
          <cell r="S75">
            <v>1014.333</v>
          </cell>
        </row>
        <row r="76">
          <cell r="D76">
            <v>1924.13</v>
          </cell>
          <cell r="S76">
            <v>1002.99</v>
          </cell>
        </row>
        <row r="77">
          <cell r="D77">
            <v>1924.13</v>
          </cell>
          <cell r="S77">
            <v>999.702</v>
          </cell>
        </row>
        <row r="78">
          <cell r="D78">
            <v>1924.13</v>
          </cell>
          <cell r="S78">
            <v>999.63199999999995</v>
          </cell>
        </row>
        <row r="79">
          <cell r="D79">
            <v>1923.87</v>
          </cell>
          <cell r="S79">
            <v>992.68100000000004</v>
          </cell>
        </row>
        <row r="80">
          <cell r="D80">
            <v>1921.09</v>
          </cell>
          <cell r="S80">
            <v>961.83799999999997</v>
          </cell>
        </row>
        <row r="81">
          <cell r="D81">
            <v>1920.08</v>
          </cell>
          <cell r="S81">
            <v>973.27599999999995</v>
          </cell>
        </row>
        <row r="82">
          <cell r="D82">
            <v>1919.33</v>
          </cell>
          <cell r="S82">
            <v>968.12900000000002</v>
          </cell>
        </row>
        <row r="83">
          <cell r="D83">
            <v>1919.33</v>
          </cell>
          <cell r="S83">
            <v>965.43499999999995</v>
          </cell>
        </row>
        <row r="84">
          <cell r="D84">
            <v>1919.33</v>
          </cell>
          <cell r="S84">
            <v>971.03800000000001</v>
          </cell>
        </row>
        <row r="85">
          <cell r="D85">
            <v>1919.33</v>
          </cell>
          <cell r="S85">
            <v>962.97699999999998</v>
          </cell>
        </row>
        <row r="86">
          <cell r="D86">
            <v>1917.1</v>
          </cell>
          <cell r="S86">
            <v>940.54700000000003</v>
          </cell>
        </row>
        <row r="87">
          <cell r="D87">
            <v>1915.67</v>
          </cell>
          <cell r="S87">
            <v>937.56700000000001</v>
          </cell>
        </row>
        <row r="88">
          <cell r="D88">
            <v>1913.6</v>
          </cell>
          <cell r="S88">
            <v>932.22500000000002</v>
          </cell>
        </row>
        <row r="89">
          <cell r="D89">
            <v>1912.42</v>
          </cell>
          <cell r="S89">
            <v>927.35299999999995</v>
          </cell>
        </row>
        <row r="90">
          <cell r="D90">
            <v>1912.25</v>
          </cell>
          <cell r="S90">
            <v>927.53399999999999</v>
          </cell>
        </row>
        <row r="91">
          <cell r="D91">
            <v>1911.92</v>
          </cell>
          <cell r="S91">
            <v>926.81700000000001</v>
          </cell>
        </row>
        <row r="92">
          <cell r="D92">
            <v>1910</v>
          </cell>
          <cell r="S92">
            <v>946.73099999999999</v>
          </cell>
        </row>
        <row r="93">
          <cell r="D93">
            <v>1906.8</v>
          </cell>
          <cell r="S93">
            <v>895.36400000000003</v>
          </cell>
        </row>
        <row r="94">
          <cell r="D94">
            <v>1906.6</v>
          </cell>
          <cell r="S94">
            <v>897.96500000000003</v>
          </cell>
        </row>
        <row r="95">
          <cell r="D95">
            <v>1905.1</v>
          </cell>
          <cell r="S95">
            <v>896.10699999999997</v>
          </cell>
        </row>
        <row r="96">
          <cell r="D96">
            <v>1902.89</v>
          </cell>
          <cell r="S96">
            <v>878.54200000000003</v>
          </cell>
        </row>
        <row r="97">
          <cell r="D97">
            <v>1902</v>
          </cell>
          <cell r="S97">
            <v>877.93700000000001</v>
          </cell>
        </row>
        <row r="98">
          <cell r="D98">
            <v>1901.27</v>
          </cell>
          <cell r="S98">
            <v>879.97699999999998</v>
          </cell>
        </row>
        <row r="99">
          <cell r="D99">
            <v>1900.23</v>
          </cell>
          <cell r="S99">
            <v>879.62699999999995</v>
          </cell>
        </row>
        <row r="100">
          <cell r="D100">
            <v>1900</v>
          </cell>
          <cell r="S100">
            <v>871.86900000000003</v>
          </cell>
        </row>
        <row r="101">
          <cell r="D101">
            <v>1898.25</v>
          </cell>
          <cell r="S101">
            <v>856.76800000000003</v>
          </cell>
        </row>
        <row r="102">
          <cell r="D102">
            <v>1898.25</v>
          </cell>
          <cell r="S102">
            <v>874.95399999999995</v>
          </cell>
        </row>
        <row r="103">
          <cell r="D103">
            <v>1897.9</v>
          </cell>
          <cell r="S103">
            <v>863.90700000000004</v>
          </cell>
        </row>
        <row r="104">
          <cell r="D104">
            <v>1895</v>
          </cell>
          <cell r="S104">
            <v>868.52300000000002</v>
          </cell>
        </row>
        <row r="105">
          <cell r="D105">
            <v>1894.92</v>
          </cell>
          <cell r="S105">
            <v>866.29499999999996</v>
          </cell>
        </row>
        <row r="106">
          <cell r="D106">
            <v>1894.25</v>
          </cell>
          <cell r="S106">
            <v>867.02099999999996</v>
          </cell>
        </row>
        <row r="107">
          <cell r="D107">
            <v>1893.75</v>
          </cell>
          <cell r="S107">
            <v>862.24800000000005</v>
          </cell>
        </row>
        <row r="108">
          <cell r="D108">
            <v>1891</v>
          </cell>
          <cell r="S108">
            <v>855.71799999999996</v>
          </cell>
        </row>
        <row r="109">
          <cell r="D109">
            <v>1890</v>
          </cell>
          <cell r="S109">
            <v>854.63699999999994</v>
          </cell>
        </row>
        <row r="110">
          <cell r="D110">
            <v>1890</v>
          </cell>
          <cell r="S110">
            <v>854.94399999999996</v>
          </cell>
        </row>
        <row r="111">
          <cell r="D111">
            <v>1888.54</v>
          </cell>
          <cell r="S111">
            <v>843.11800000000005</v>
          </cell>
        </row>
        <row r="112">
          <cell r="D112">
            <v>1887.92</v>
          </cell>
          <cell r="S112">
            <v>841.68799999999999</v>
          </cell>
        </row>
        <row r="113">
          <cell r="D113">
            <v>1887.75</v>
          </cell>
          <cell r="S113">
            <v>844.02</v>
          </cell>
        </row>
        <row r="114">
          <cell r="D114">
            <v>1887.58</v>
          </cell>
          <cell r="S114">
            <v>844.63199999999995</v>
          </cell>
        </row>
        <row r="115">
          <cell r="D115">
            <v>1887</v>
          </cell>
          <cell r="S115">
            <v>852.81399999999996</v>
          </cell>
        </row>
        <row r="116">
          <cell r="D116">
            <v>1885.1</v>
          </cell>
          <cell r="S116">
            <v>848.077</v>
          </cell>
        </row>
        <row r="117">
          <cell r="D117">
            <v>1884.47</v>
          </cell>
          <cell r="S117">
            <v>838.00199999999995</v>
          </cell>
        </row>
        <row r="118">
          <cell r="D118">
            <v>1881.18</v>
          </cell>
          <cell r="S118">
            <v>835.21199999999999</v>
          </cell>
        </row>
        <row r="119">
          <cell r="D119">
            <v>1878.2</v>
          </cell>
          <cell r="S119">
            <v>831.65099999999995</v>
          </cell>
        </row>
        <row r="120">
          <cell r="D120">
            <v>1876.8</v>
          </cell>
          <cell r="S120">
            <v>810.95</v>
          </cell>
        </row>
        <row r="121">
          <cell r="D121">
            <v>1875.1</v>
          </cell>
          <cell r="S121">
            <v>832.96100000000001</v>
          </cell>
        </row>
        <row r="122">
          <cell r="D122">
            <v>1874</v>
          </cell>
          <cell r="S122">
            <v>827.90300000000002</v>
          </cell>
        </row>
        <row r="123">
          <cell r="D123">
            <v>1871.2</v>
          </cell>
          <cell r="S123">
            <v>828.15</v>
          </cell>
        </row>
        <row r="124">
          <cell r="D124">
            <v>1870.83</v>
          </cell>
          <cell r="S124">
            <v>820.97199999999998</v>
          </cell>
        </row>
        <row r="125">
          <cell r="D125">
            <v>1869.63</v>
          </cell>
          <cell r="S125">
            <v>820.30200000000002</v>
          </cell>
        </row>
        <row r="126">
          <cell r="D126">
            <v>1868</v>
          </cell>
          <cell r="S126">
            <v>826.74</v>
          </cell>
        </row>
        <row r="127">
          <cell r="D127">
            <v>1868</v>
          </cell>
          <cell r="S127">
            <v>823.00300000000004</v>
          </cell>
        </row>
        <row r="128">
          <cell r="D128">
            <v>1865.47</v>
          </cell>
          <cell r="S128">
            <v>807.798</v>
          </cell>
        </row>
        <row r="129">
          <cell r="D129">
            <v>1864.4</v>
          </cell>
          <cell r="S129">
            <v>814.53599999999994</v>
          </cell>
        </row>
        <row r="130">
          <cell r="D130">
            <v>1863.18</v>
          </cell>
          <cell r="S130">
            <v>798.86599999999999</v>
          </cell>
        </row>
        <row r="131">
          <cell r="D131">
            <v>1860.09</v>
          </cell>
          <cell r="S131">
            <v>797.28499999999997</v>
          </cell>
        </row>
        <row r="132">
          <cell r="D132">
            <v>1858.15</v>
          </cell>
          <cell r="S132">
            <v>792.49099999999999</v>
          </cell>
        </row>
        <row r="133">
          <cell r="D133">
            <v>1856</v>
          </cell>
          <cell r="S133">
            <v>784.95399999999995</v>
          </cell>
        </row>
        <row r="134">
          <cell r="D134">
            <v>1855</v>
          </cell>
          <cell r="S134">
            <v>796.83100000000002</v>
          </cell>
        </row>
        <row r="135">
          <cell r="D135">
            <v>1852.3</v>
          </cell>
          <cell r="S135">
            <v>793.59299999999996</v>
          </cell>
        </row>
        <row r="136">
          <cell r="D136">
            <v>1851.5</v>
          </cell>
          <cell r="S136">
            <v>778.23800000000006</v>
          </cell>
        </row>
        <row r="137">
          <cell r="D137">
            <v>1847</v>
          </cell>
          <cell r="S137">
            <v>780.822</v>
          </cell>
        </row>
        <row r="138">
          <cell r="D138">
            <v>1846.13</v>
          </cell>
          <cell r="S138">
            <v>775.30899999999997</v>
          </cell>
        </row>
        <row r="139">
          <cell r="D139">
            <v>1846</v>
          </cell>
          <cell r="S139">
            <v>779.81700000000001</v>
          </cell>
        </row>
        <row r="140">
          <cell r="D140">
            <v>1844.9</v>
          </cell>
          <cell r="S140">
            <v>782.81600000000003</v>
          </cell>
        </row>
        <row r="141">
          <cell r="D141">
            <v>1844.9</v>
          </cell>
          <cell r="S141">
            <v>782.91700000000003</v>
          </cell>
        </row>
        <row r="142">
          <cell r="D142">
            <v>1844</v>
          </cell>
          <cell r="S142">
            <v>769.221</v>
          </cell>
        </row>
        <row r="143">
          <cell r="D143">
            <v>1843.17</v>
          </cell>
          <cell r="S143">
            <v>770.10799999999995</v>
          </cell>
        </row>
        <row r="144">
          <cell r="D144">
            <v>1842</v>
          </cell>
          <cell r="S144">
            <v>775.61599999999999</v>
          </cell>
        </row>
        <row r="145">
          <cell r="D145">
            <v>1840.9</v>
          </cell>
          <cell r="S145">
            <v>767.654</v>
          </cell>
        </row>
        <row r="146">
          <cell r="D146">
            <v>1840.7</v>
          </cell>
          <cell r="S146">
            <v>769.78800000000001</v>
          </cell>
        </row>
        <row r="147">
          <cell r="D147">
            <v>1840.1</v>
          </cell>
          <cell r="S147">
            <v>760.37900000000002</v>
          </cell>
        </row>
        <row r="148">
          <cell r="D148">
            <v>1838.63</v>
          </cell>
          <cell r="S148">
            <v>760.46900000000005</v>
          </cell>
        </row>
        <row r="149">
          <cell r="D149">
            <v>1980.07</v>
          </cell>
          <cell r="S149">
            <v>1496.62</v>
          </cell>
        </row>
        <row r="150">
          <cell r="D150">
            <v>1979.94</v>
          </cell>
          <cell r="S150">
            <v>1496.0719999999999</v>
          </cell>
        </row>
        <row r="151">
          <cell r="D151">
            <v>1977.18</v>
          </cell>
          <cell r="S151">
            <v>1475.6590000000001</v>
          </cell>
        </row>
        <row r="152">
          <cell r="D152">
            <v>1975</v>
          </cell>
          <cell r="S152">
            <v>1436.85</v>
          </cell>
        </row>
        <row r="153">
          <cell r="D153">
            <v>1973.18</v>
          </cell>
          <cell r="S153">
            <v>1434.221</v>
          </cell>
        </row>
        <row r="154">
          <cell r="D154">
            <v>1972.71</v>
          </cell>
          <cell r="S154">
            <v>1401.8320000000001</v>
          </cell>
        </row>
        <row r="155">
          <cell r="D155">
            <v>1971.92</v>
          </cell>
          <cell r="S155">
            <v>1395.9349999999999</v>
          </cell>
        </row>
        <row r="156">
          <cell r="D156">
            <v>1971.46</v>
          </cell>
          <cell r="S156">
            <v>1396.3520000000001</v>
          </cell>
        </row>
        <row r="157">
          <cell r="D157">
            <v>1968.93</v>
          </cell>
          <cell r="S157">
            <v>1325.674</v>
          </cell>
        </row>
        <row r="158">
          <cell r="D158">
            <v>1968.33</v>
          </cell>
          <cell r="S158">
            <v>1334.55</v>
          </cell>
        </row>
        <row r="159">
          <cell r="D159">
            <v>1963.43</v>
          </cell>
          <cell r="S159">
            <v>1247.7139999999999</v>
          </cell>
        </row>
        <row r="160">
          <cell r="D160">
            <v>1961.92</v>
          </cell>
          <cell r="S160">
            <v>1225.7370000000001</v>
          </cell>
        </row>
        <row r="161">
          <cell r="D161">
            <v>1949.64</v>
          </cell>
          <cell r="S161">
            <v>1115.145</v>
          </cell>
        </row>
        <row r="162">
          <cell r="D162">
            <v>1948.64</v>
          </cell>
          <cell r="S162">
            <v>1115.175</v>
          </cell>
        </row>
        <row r="163">
          <cell r="D163">
            <v>1948.45</v>
          </cell>
          <cell r="S163">
            <v>1110.461</v>
          </cell>
        </row>
        <row r="164">
          <cell r="D164">
            <v>1948</v>
          </cell>
          <cell r="S164">
            <v>1106.0229999999999</v>
          </cell>
        </row>
        <row r="165">
          <cell r="D165">
            <v>1945</v>
          </cell>
          <cell r="S165">
            <v>1091.337</v>
          </cell>
        </row>
        <row r="166">
          <cell r="D166">
            <v>1945</v>
          </cell>
          <cell r="S166">
            <v>1084.1769999999999</v>
          </cell>
        </row>
        <row r="167">
          <cell r="D167">
            <v>1942.33</v>
          </cell>
          <cell r="S167">
            <v>1080.944</v>
          </cell>
        </row>
        <row r="168">
          <cell r="D168">
            <v>1940.64</v>
          </cell>
          <cell r="S168">
            <v>1076.2439999999999</v>
          </cell>
        </row>
        <row r="169">
          <cell r="D169">
            <v>1936.36</v>
          </cell>
          <cell r="S169">
            <v>1056.7909999999999</v>
          </cell>
        </row>
        <row r="170">
          <cell r="D170">
            <v>1927</v>
          </cell>
          <cell r="S170">
            <v>1004.369</v>
          </cell>
        </row>
        <row r="171">
          <cell r="D171">
            <v>1833</v>
          </cell>
          <cell r="S171">
            <v>764.36500000000001</v>
          </cell>
        </row>
        <row r="172">
          <cell r="D172">
            <v>1962.72</v>
          </cell>
          <cell r="S172">
            <v>1231.896</v>
          </cell>
        </row>
        <row r="173">
          <cell r="D173">
            <v>1957.16</v>
          </cell>
          <cell r="S173">
            <v>1177.8409999999999</v>
          </cell>
        </row>
        <row r="174">
          <cell r="D174">
            <v>1957.16</v>
          </cell>
          <cell r="S174">
            <v>1196.8879999999999</v>
          </cell>
        </row>
        <row r="175">
          <cell r="D175">
            <v>1957.16</v>
          </cell>
          <cell r="S175">
            <v>1184.691</v>
          </cell>
        </row>
        <row r="176">
          <cell r="D176">
            <v>1951.25</v>
          </cell>
          <cell r="S176">
            <v>1115.338</v>
          </cell>
        </row>
        <row r="177">
          <cell r="D177">
            <v>1940.97</v>
          </cell>
          <cell r="S177">
            <v>1067.32</v>
          </cell>
        </row>
        <row r="178">
          <cell r="D178">
            <v>1939.16</v>
          </cell>
          <cell r="S178">
            <v>1064.1400000000001</v>
          </cell>
        </row>
        <row r="179">
          <cell r="D179">
            <v>1929.74</v>
          </cell>
          <cell r="S179">
            <v>1017.511</v>
          </cell>
        </row>
        <row r="180">
          <cell r="D180">
            <v>1929.16</v>
          </cell>
          <cell r="S180">
            <v>1008.026</v>
          </cell>
        </row>
        <row r="181">
          <cell r="D181">
            <v>1902.7</v>
          </cell>
          <cell r="S181">
            <v>878.35799999999995</v>
          </cell>
        </row>
        <row r="182">
          <cell r="D182">
            <v>1885.18</v>
          </cell>
          <cell r="S182">
            <v>856.23199999999997</v>
          </cell>
        </row>
        <row r="183">
          <cell r="D183">
            <v>1868.73</v>
          </cell>
          <cell r="S183">
            <v>813.02700000000004</v>
          </cell>
        </row>
        <row r="184">
          <cell r="D184">
            <v>1867.72</v>
          </cell>
          <cell r="S184">
            <v>806.07899999999995</v>
          </cell>
        </row>
        <row r="185">
          <cell r="D185">
            <v>1862.23</v>
          </cell>
          <cell r="S185">
            <v>789.57</v>
          </cell>
        </row>
        <row r="186">
          <cell r="D186">
            <v>1851.83</v>
          </cell>
          <cell r="S186">
            <v>785.05899999999997</v>
          </cell>
        </row>
        <row r="187">
          <cell r="D187">
            <v>1851.09</v>
          </cell>
          <cell r="S187">
            <v>777.13599999999997</v>
          </cell>
        </row>
        <row r="188">
          <cell r="D188">
            <v>1848.32</v>
          </cell>
          <cell r="S188">
            <v>772.54200000000003</v>
          </cell>
        </row>
        <row r="189">
          <cell r="D189">
            <v>1844.07</v>
          </cell>
          <cell r="S189">
            <v>772.71</v>
          </cell>
        </row>
        <row r="190">
          <cell r="D190">
            <v>1840.38</v>
          </cell>
          <cell r="S190">
            <v>770.69100000000003</v>
          </cell>
        </row>
        <row r="191">
          <cell r="D191">
            <v>1837.7</v>
          </cell>
          <cell r="S191">
            <v>774.55399999999997</v>
          </cell>
        </row>
        <row r="192">
          <cell r="D192">
            <v>1834.18</v>
          </cell>
          <cell r="S192">
            <v>776.92200000000003</v>
          </cell>
        </row>
        <row r="193">
          <cell r="D193">
            <v>1827.92</v>
          </cell>
          <cell r="S193">
            <v>764.02599999999995</v>
          </cell>
        </row>
        <row r="194">
          <cell r="D194">
            <v>1825.75</v>
          </cell>
          <cell r="S194">
            <v>760.99199999999996</v>
          </cell>
        </row>
        <row r="195">
          <cell r="D195">
            <v>1814.66</v>
          </cell>
          <cell r="S195">
            <v>745.63599999999997</v>
          </cell>
        </row>
        <row r="196">
          <cell r="D196">
            <v>1800.34</v>
          </cell>
          <cell r="S196">
            <v>735.84100000000001</v>
          </cell>
        </row>
        <row r="197">
          <cell r="D197">
            <v>1800.34</v>
          </cell>
          <cell r="S197">
            <v>739.44500000000005</v>
          </cell>
        </row>
        <row r="198">
          <cell r="D198">
            <v>1797.47</v>
          </cell>
          <cell r="S198">
            <v>728.94500000000005</v>
          </cell>
        </row>
        <row r="199">
          <cell r="D199">
            <v>1796.94</v>
          </cell>
          <cell r="S199">
            <v>724.10599999999999</v>
          </cell>
        </row>
        <row r="200">
          <cell r="D200">
            <v>1795.1</v>
          </cell>
          <cell r="S200">
            <v>726.87300000000005</v>
          </cell>
        </row>
        <row r="201">
          <cell r="D201">
            <v>1781.3</v>
          </cell>
          <cell r="S201">
            <v>727.303</v>
          </cell>
        </row>
        <row r="202">
          <cell r="D202">
            <v>1780.49</v>
          </cell>
          <cell r="S202">
            <v>721.50400000000002</v>
          </cell>
        </row>
        <row r="203">
          <cell r="D203">
            <v>1774.46</v>
          </cell>
          <cell r="S203">
            <v>729.86199999999997</v>
          </cell>
        </row>
        <row r="204">
          <cell r="D204">
            <v>1764.7</v>
          </cell>
          <cell r="S204">
            <v>715.01300000000003</v>
          </cell>
        </row>
        <row r="205">
          <cell r="D205">
            <v>1763.88</v>
          </cell>
          <cell r="S205">
            <v>710.20500000000004</v>
          </cell>
        </row>
        <row r="206">
          <cell r="D206">
            <v>1753.13</v>
          </cell>
          <cell r="S206">
            <v>704.327</v>
          </cell>
        </row>
        <row r="207">
          <cell r="D207">
            <v>1753.13</v>
          </cell>
          <cell r="S207">
            <v>706.63</v>
          </cell>
        </row>
        <row r="208">
          <cell r="D208">
            <v>1752.33</v>
          </cell>
          <cell r="S208">
            <v>712.68100000000004</v>
          </cell>
        </row>
        <row r="209">
          <cell r="D209">
            <v>1750.12</v>
          </cell>
          <cell r="S209">
            <v>699.82799999999997</v>
          </cell>
        </row>
        <row r="210">
          <cell r="D210">
            <v>1742.26</v>
          </cell>
          <cell r="S210">
            <v>715.33</v>
          </cell>
        </row>
        <row r="211">
          <cell r="D211">
            <v>1734.99</v>
          </cell>
          <cell r="S211">
            <v>712.13199999999995</v>
          </cell>
        </row>
        <row r="212">
          <cell r="D212">
            <v>1724.01</v>
          </cell>
          <cell r="S212">
            <v>684.11500000000001</v>
          </cell>
        </row>
        <row r="213">
          <cell r="D213">
            <v>1723.86</v>
          </cell>
          <cell r="S213">
            <v>678.58699999999999</v>
          </cell>
        </row>
        <row r="214">
          <cell r="D214">
            <v>1694.91</v>
          </cell>
          <cell r="S214">
            <v>683.39800000000002</v>
          </cell>
        </row>
        <row r="215">
          <cell r="D215">
            <v>1690.74</v>
          </cell>
          <cell r="S215">
            <v>693.30399999999997</v>
          </cell>
        </row>
        <row r="216">
          <cell r="D216">
            <v>1682.89</v>
          </cell>
          <cell r="S216">
            <v>698.98900000000003</v>
          </cell>
        </row>
        <row r="217">
          <cell r="D217">
            <v>1650.1</v>
          </cell>
          <cell r="S217">
            <v>681.78</v>
          </cell>
        </row>
        <row r="218">
          <cell r="D218">
            <v>1640.81</v>
          </cell>
          <cell r="S218">
            <v>695.76400000000001</v>
          </cell>
        </row>
        <row r="219">
          <cell r="D219">
            <v>1629.6</v>
          </cell>
          <cell r="S219">
            <v>692.68499999999995</v>
          </cell>
        </row>
        <row r="220">
          <cell r="D220">
            <v>1610.46</v>
          </cell>
          <cell r="S220">
            <v>687.51499999999999</v>
          </cell>
        </row>
        <row r="221">
          <cell r="D221">
            <v>1604.42</v>
          </cell>
          <cell r="S221">
            <v>674.77599999999995</v>
          </cell>
        </row>
        <row r="222">
          <cell r="D222">
            <v>1591.99</v>
          </cell>
          <cell r="S222">
            <v>672.29300000000001</v>
          </cell>
        </row>
        <row r="223">
          <cell r="D223">
            <v>1589.18</v>
          </cell>
          <cell r="S223">
            <v>681.346</v>
          </cell>
        </row>
        <row r="224">
          <cell r="D224">
            <v>1574.59</v>
          </cell>
          <cell r="S224">
            <v>692.81799999999998</v>
          </cell>
        </row>
        <row r="225">
          <cell r="D225">
            <v>1574.01</v>
          </cell>
          <cell r="S225">
            <v>692.14700000000005</v>
          </cell>
        </row>
        <row r="226">
          <cell r="D226">
            <v>1560.86</v>
          </cell>
          <cell r="S226">
            <v>722.43499999999995</v>
          </cell>
        </row>
        <row r="227">
          <cell r="D227">
            <v>1550.65</v>
          </cell>
          <cell r="S227">
            <v>711.38599999999997</v>
          </cell>
        </row>
        <row r="228">
          <cell r="D228">
            <v>1549.34</v>
          </cell>
          <cell r="S228">
            <v>707.245</v>
          </cell>
        </row>
        <row r="229">
          <cell r="D229">
            <v>1533.22</v>
          </cell>
          <cell r="S229">
            <v>700.44399999999996</v>
          </cell>
        </row>
        <row r="230">
          <cell r="D230">
            <v>1530.68</v>
          </cell>
          <cell r="S230">
            <v>706.59199999999998</v>
          </cell>
        </row>
        <row r="231">
          <cell r="D231">
            <v>1502.53</v>
          </cell>
          <cell r="S231">
            <v>699.92700000000002</v>
          </cell>
        </row>
        <row r="232">
          <cell r="D232">
            <v>1470.4</v>
          </cell>
          <cell r="S232">
            <v>678.55799999999999</v>
          </cell>
        </row>
        <row r="233">
          <cell r="D233">
            <v>1450.16</v>
          </cell>
          <cell r="S233">
            <v>693.14400000000001</v>
          </cell>
        </row>
        <row r="234">
          <cell r="D234">
            <v>1430.63</v>
          </cell>
          <cell r="S234">
            <v>679.15300000000002</v>
          </cell>
        </row>
        <row r="235">
          <cell r="D235">
            <v>1429.8</v>
          </cell>
          <cell r="S235">
            <v>704.50199999999995</v>
          </cell>
        </row>
        <row r="236">
          <cell r="D236">
            <v>1411.86</v>
          </cell>
          <cell r="S236">
            <v>673.20399999999995</v>
          </cell>
        </row>
        <row r="237">
          <cell r="D237">
            <v>1391.33</v>
          </cell>
          <cell r="S237">
            <v>681.26400000000001</v>
          </cell>
        </row>
        <row r="238">
          <cell r="D238">
            <v>1391.33</v>
          </cell>
          <cell r="S238">
            <v>685.66200000000003</v>
          </cell>
        </row>
        <row r="239">
          <cell r="D239">
            <v>1360.22</v>
          </cell>
          <cell r="S239">
            <v>676.59100000000001</v>
          </cell>
        </row>
        <row r="240">
          <cell r="D240">
            <v>1353.94</v>
          </cell>
          <cell r="S240">
            <v>670.21900000000005</v>
          </cell>
        </row>
        <row r="241">
          <cell r="D241">
            <v>1349.85</v>
          </cell>
          <cell r="S241">
            <v>676.55</v>
          </cell>
        </row>
        <row r="242">
          <cell r="D242">
            <v>1331.12</v>
          </cell>
          <cell r="S242">
            <v>680.06899999999996</v>
          </cell>
        </row>
        <row r="243">
          <cell r="D243">
            <v>1308.45</v>
          </cell>
          <cell r="S243">
            <v>697.53399999999999</v>
          </cell>
        </row>
        <row r="244">
          <cell r="D244">
            <v>1279.2</v>
          </cell>
          <cell r="S244">
            <v>694.45299999999997</v>
          </cell>
        </row>
        <row r="245">
          <cell r="D245">
            <v>1260.51</v>
          </cell>
          <cell r="S245">
            <v>677.846</v>
          </cell>
        </row>
        <row r="246">
          <cell r="D246">
            <v>1256.6400000000001</v>
          </cell>
          <cell r="S246">
            <v>666.86400000000003</v>
          </cell>
        </row>
        <row r="247">
          <cell r="D247">
            <v>1252.27</v>
          </cell>
          <cell r="S247">
            <v>667.899</v>
          </cell>
        </row>
        <row r="248">
          <cell r="D248">
            <v>1200.81</v>
          </cell>
          <cell r="S248">
            <v>691.02800000000002</v>
          </cell>
        </row>
        <row r="249">
          <cell r="D249">
            <v>1166.98</v>
          </cell>
          <cell r="S249">
            <v>697.29300000000001</v>
          </cell>
        </row>
        <row r="250">
          <cell r="D250">
            <v>1147.29</v>
          </cell>
          <cell r="S250">
            <v>693.20299999999997</v>
          </cell>
        </row>
        <row r="251">
          <cell r="D251">
            <v>1116.94</v>
          </cell>
          <cell r="S251">
            <v>684.43600000000004</v>
          </cell>
        </row>
        <row r="252">
          <cell r="D252">
            <v>1072.67</v>
          </cell>
          <cell r="S252">
            <v>661.71199999999999</v>
          </cell>
        </row>
        <row r="253">
          <cell r="D253">
            <v>1071.2</v>
          </cell>
          <cell r="S253">
            <v>670.01800000000003</v>
          </cell>
        </row>
        <row r="254">
          <cell r="D254">
            <v>1060.6400000000001</v>
          </cell>
          <cell r="S254">
            <v>681.33900000000006</v>
          </cell>
        </row>
        <row r="255">
          <cell r="D255">
            <v>1050.18</v>
          </cell>
          <cell r="S255">
            <v>684.69299999999998</v>
          </cell>
        </row>
        <row r="256">
          <cell r="D256">
            <v>1041.08</v>
          </cell>
          <cell r="S256">
            <v>688.56899999999996</v>
          </cell>
        </row>
        <row r="257">
          <cell r="D257">
            <v>983.65</v>
          </cell>
          <cell r="S257">
            <v>662.38</v>
          </cell>
        </row>
        <row r="258">
          <cell r="D258">
            <v>958.65</v>
          </cell>
          <cell r="S258">
            <v>655.23699999999997</v>
          </cell>
        </row>
        <row r="259">
          <cell r="D259">
            <v>915.45</v>
          </cell>
          <cell r="S259">
            <v>656.08799999999997</v>
          </cell>
        </row>
        <row r="260">
          <cell r="D260">
            <v>876.41</v>
          </cell>
          <cell r="S260">
            <v>665.65899999999999</v>
          </cell>
        </row>
        <row r="261">
          <cell r="D261">
            <v>823.33</v>
          </cell>
          <cell r="S261">
            <v>650.77300000000002</v>
          </cell>
        </row>
        <row r="262">
          <cell r="D262">
            <v>763.3</v>
          </cell>
          <cell r="S262">
            <v>658.16600000000005</v>
          </cell>
        </row>
        <row r="263">
          <cell r="D263">
            <v>731.43</v>
          </cell>
          <cell r="S263">
            <v>658.82100000000003</v>
          </cell>
        </row>
        <row r="264">
          <cell r="D264">
            <v>702.25</v>
          </cell>
          <cell r="S264">
            <v>651.05100000000004</v>
          </cell>
        </row>
        <row r="265">
          <cell r="D265">
            <v>670.18</v>
          </cell>
          <cell r="S265">
            <v>642.52700000000004</v>
          </cell>
        </row>
        <row r="266">
          <cell r="D266">
            <v>638</v>
          </cell>
          <cell r="S266">
            <v>654.38900000000001</v>
          </cell>
        </row>
        <row r="267">
          <cell r="D267">
            <v>615.52</v>
          </cell>
          <cell r="S267">
            <v>661.19600000000003</v>
          </cell>
        </row>
        <row r="268">
          <cell r="D268">
            <v>583.41</v>
          </cell>
          <cell r="S268">
            <v>666.56100000000004</v>
          </cell>
        </row>
        <row r="269">
          <cell r="D269">
            <v>558.47</v>
          </cell>
          <cell r="S269">
            <v>660.89099999999996</v>
          </cell>
        </row>
        <row r="270">
          <cell r="D270">
            <v>552.62</v>
          </cell>
          <cell r="S270">
            <v>669.01700000000005</v>
          </cell>
        </row>
        <row r="271">
          <cell r="D271">
            <v>518.96</v>
          </cell>
          <cell r="S271">
            <v>647.43299999999999</v>
          </cell>
        </row>
        <row r="272">
          <cell r="D272">
            <v>489.43</v>
          </cell>
          <cell r="S272">
            <v>645.221</v>
          </cell>
        </row>
        <row r="273">
          <cell r="D273">
            <v>437.94</v>
          </cell>
          <cell r="S273">
            <v>629.53</v>
          </cell>
        </row>
        <row r="274">
          <cell r="D274">
            <v>385.23</v>
          </cell>
          <cell r="S274">
            <v>632.93799999999999</v>
          </cell>
        </row>
        <row r="275">
          <cell r="D275">
            <v>358.33</v>
          </cell>
          <cell r="S275">
            <v>652.65700000000004</v>
          </cell>
        </row>
        <row r="276">
          <cell r="D276">
            <v>318.55</v>
          </cell>
          <cell r="S276">
            <v>640.93600000000004</v>
          </cell>
        </row>
        <row r="277">
          <cell r="D277">
            <v>296.60000000000002</v>
          </cell>
          <cell r="S277">
            <v>648.93700000000001</v>
          </cell>
        </row>
        <row r="278">
          <cell r="D278">
            <v>275.44</v>
          </cell>
          <cell r="S278">
            <v>645.47900000000004</v>
          </cell>
        </row>
        <row r="279">
          <cell r="D279">
            <v>267.10000000000002</v>
          </cell>
          <cell r="S279">
            <v>649.06399999999996</v>
          </cell>
        </row>
        <row r="280">
          <cell r="D280">
            <v>241.6</v>
          </cell>
          <cell r="S280">
            <v>646.96699999999998</v>
          </cell>
        </row>
        <row r="281">
          <cell r="D281">
            <v>175.53</v>
          </cell>
          <cell r="S281">
            <v>636.47900000000004</v>
          </cell>
        </row>
        <row r="282">
          <cell r="D282">
            <v>168.9</v>
          </cell>
          <cell r="S282">
            <v>634.39800000000002</v>
          </cell>
        </row>
        <row r="283">
          <cell r="D283">
            <v>154.53</v>
          </cell>
          <cell r="S283">
            <v>641.97</v>
          </cell>
        </row>
        <row r="284">
          <cell r="D284">
            <v>1958.8</v>
          </cell>
          <cell r="S284">
            <v>1186.3330000000001</v>
          </cell>
        </row>
        <row r="285">
          <cell r="D285">
            <v>1940.1</v>
          </cell>
          <cell r="S285">
            <v>1060.164</v>
          </cell>
        </row>
        <row r="286">
          <cell r="D286">
            <v>1939.5</v>
          </cell>
          <cell r="S286">
            <v>1073.5329999999999</v>
          </cell>
        </row>
        <row r="287">
          <cell r="D287">
            <v>1923.8</v>
          </cell>
          <cell r="S287">
            <v>980.74400000000003</v>
          </cell>
        </row>
        <row r="288">
          <cell r="D288">
            <v>1919.7</v>
          </cell>
          <cell r="S288">
            <v>969.22</v>
          </cell>
        </row>
        <row r="289">
          <cell r="D289">
            <v>1908.2</v>
          </cell>
          <cell r="S289">
            <v>897.09299999999996</v>
          </cell>
        </row>
        <row r="290">
          <cell r="D290">
            <v>1907.5</v>
          </cell>
          <cell r="S290">
            <v>904.11300000000006</v>
          </cell>
        </row>
        <row r="291">
          <cell r="D291">
            <v>1897.9</v>
          </cell>
          <cell r="S291">
            <v>855.52300000000002</v>
          </cell>
        </row>
        <row r="292">
          <cell r="D292">
            <v>1863.5</v>
          </cell>
          <cell r="S292">
            <v>802.21</v>
          </cell>
        </row>
        <row r="293">
          <cell r="D293">
            <v>1860.1</v>
          </cell>
          <cell r="S293">
            <v>788.03099999999995</v>
          </cell>
        </row>
        <row r="294">
          <cell r="D294">
            <v>1856.2</v>
          </cell>
          <cell r="S294">
            <v>777.39200000000005</v>
          </cell>
        </row>
        <row r="295">
          <cell r="D295">
            <v>1853.2</v>
          </cell>
          <cell r="S295">
            <v>778.22199999999998</v>
          </cell>
        </row>
        <row r="296">
          <cell r="D296">
            <v>1848.7</v>
          </cell>
          <cell r="S296">
            <v>778.89599999999996</v>
          </cell>
        </row>
        <row r="297">
          <cell r="D297">
            <v>1826.5</v>
          </cell>
          <cell r="S297">
            <v>764.35599999999999</v>
          </cell>
        </row>
        <row r="298">
          <cell r="D298">
            <v>1822.2</v>
          </cell>
          <cell r="S298">
            <v>755.39700000000005</v>
          </cell>
        </row>
        <row r="299">
          <cell r="D299">
            <v>1820.3</v>
          </cell>
          <cell r="S299">
            <v>755.529</v>
          </cell>
        </row>
        <row r="300">
          <cell r="D300">
            <v>1814.6</v>
          </cell>
          <cell r="S300">
            <v>736.74800000000005</v>
          </cell>
        </row>
        <row r="301">
          <cell r="D301">
            <v>1811.2</v>
          </cell>
          <cell r="S301">
            <v>746.32100000000003</v>
          </cell>
        </row>
        <row r="302">
          <cell r="D302">
            <v>1797</v>
          </cell>
          <cell r="S302">
            <v>730.99699999999996</v>
          </cell>
        </row>
        <row r="303">
          <cell r="D303">
            <v>1761</v>
          </cell>
          <cell r="S303">
            <v>714.67200000000003</v>
          </cell>
        </row>
        <row r="304">
          <cell r="D304">
            <v>1747</v>
          </cell>
          <cell r="S304">
            <v>712.20600000000002</v>
          </cell>
        </row>
        <row r="305">
          <cell r="D305">
            <v>1730</v>
          </cell>
          <cell r="S305">
            <v>702.68299999999999</v>
          </cell>
        </row>
        <row r="306">
          <cell r="D306">
            <v>1720</v>
          </cell>
          <cell r="S306">
            <v>677.43700000000001</v>
          </cell>
        </row>
        <row r="307">
          <cell r="D307">
            <v>1711</v>
          </cell>
          <cell r="S307">
            <v>663.12900000000002</v>
          </cell>
        </row>
        <row r="308">
          <cell r="D308">
            <v>1704</v>
          </cell>
          <cell r="S308">
            <v>687.73099999999999</v>
          </cell>
        </row>
      </sheetData>
      <sheetData sheetId="6">
        <row r="3">
          <cell r="AO3">
            <v>1996.416649</v>
          </cell>
          <cell r="AP3">
            <v>1707.3600000000001</v>
          </cell>
          <cell r="CG3">
            <v>1993.08</v>
          </cell>
          <cell r="CH3">
            <v>1674.0566666666666</v>
          </cell>
        </row>
        <row r="4">
          <cell r="AO4">
            <v>1994.6325999999999</v>
          </cell>
          <cell r="AP4">
            <v>1696.0250000000001</v>
          </cell>
          <cell r="CG4">
            <v>1991.7650839999999</v>
          </cell>
          <cell r="CH4">
            <v>1677.79</v>
          </cell>
        </row>
        <row r="5">
          <cell r="AO5">
            <v>1992.289908</v>
          </cell>
          <cell r="AP5">
            <v>1682.4250000000002</v>
          </cell>
          <cell r="CG5">
            <v>1991.178973</v>
          </cell>
          <cell r="CH5">
            <v>1675.49</v>
          </cell>
        </row>
        <row r="6">
          <cell r="AO6">
            <v>1990.393088</v>
          </cell>
          <cell r="AP6">
            <v>1663.1975000000002</v>
          </cell>
          <cell r="CG6">
            <v>1990.631392</v>
          </cell>
          <cell r="CH6">
            <v>1670.573333333333</v>
          </cell>
        </row>
        <row r="7">
          <cell r="AO7">
            <v>1984.3944080000001</v>
          </cell>
          <cell r="AP7">
            <v>1587.75</v>
          </cell>
          <cell r="CG7">
            <v>1989.634906</v>
          </cell>
          <cell r="CH7">
            <v>1661.2066666666667</v>
          </cell>
        </row>
        <row r="8">
          <cell r="AO8">
            <v>1971.4237029999999</v>
          </cell>
          <cell r="AP8">
            <v>1368.8425000000002</v>
          </cell>
          <cell r="CG8">
            <v>1988.744788</v>
          </cell>
          <cell r="CH8">
            <v>1645.87</v>
          </cell>
        </row>
        <row r="9">
          <cell r="AO9">
            <v>1958.379152</v>
          </cell>
          <cell r="AP9">
            <v>1191.7860000000001</v>
          </cell>
          <cell r="CG9">
            <v>1987.9053650000001</v>
          </cell>
          <cell r="CH9">
            <v>1637.48</v>
          </cell>
        </row>
        <row r="10">
          <cell r="AO10">
            <v>1943.500055</v>
          </cell>
          <cell r="AP10">
            <v>1085.7985714285714</v>
          </cell>
          <cell r="CG10">
            <v>1987.3569480000001</v>
          </cell>
          <cell r="CH10">
            <v>1630.1675</v>
          </cell>
        </row>
        <row r="11">
          <cell r="CG11">
            <v>1986.9314099999999</v>
          </cell>
          <cell r="CH11">
            <v>1625.2133333333331</v>
          </cell>
        </row>
        <row r="12">
          <cell r="CG12">
            <v>1986.5763059999999</v>
          </cell>
          <cell r="CH12">
            <v>1621.3066666666666</v>
          </cell>
        </row>
        <row r="13">
          <cell r="CG13">
            <v>1985.864605</v>
          </cell>
          <cell r="CH13">
            <v>1611.0033333333333</v>
          </cell>
        </row>
        <row r="14">
          <cell r="CG14">
            <v>1984.1649500000001</v>
          </cell>
          <cell r="CH14">
            <v>1582.9850000000001</v>
          </cell>
        </row>
        <row r="15">
          <cell r="CG15">
            <v>1980.7456239999999</v>
          </cell>
          <cell r="CH15">
            <v>1518.0866666666668</v>
          </cell>
        </row>
        <row r="16">
          <cell r="CG16">
            <v>1977.1746129999999</v>
          </cell>
          <cell r="CH16">
            <v>1479.15</v>
          </cell>
        </row>
      </sheetData>
      <sheetData sheetId="7" refreshError="1"/>
      <sheetData sheetId="8">
        <row r="2">
          <cell r="D2">
            <v>1969.13</v>
          </cell>
          <cell r="S2">
            <v>292.93799999999999</v>
          </cell>
        </row>
        <row r="3">
          <cell r="D3">
            <v>1968.85</v>
          </cell>
          <cell r="S3">
            <v>293.62299999999999</v>
          </cell>
        </row>
        <row r="4">
          <cell r="D4">
            <v>1967.07</v>
          </cell>
          <cell r="S4">
            <v>295.49900000000002</v>
          </cell>
        </row>
        <row r="5">
          <cell r="D5">
            <v>1965.67</v>
          </cell>
          <cell r="S5">
            <v>292.61799999999999</v>
          </cell>
        </row>
        <row r="6">
          <cell r="D6">
            <v>1965.6</v>
          </cell>
          <cell r="S6">
            <v>292.64</v>
          </cell>
        </row>
        <row r="7">
          <cell r="D7">
            <v>1963.86</v>
          </cell>
          <cell r="S7">
            <v>296.67200000000003</v>
          </cell>
        </row>
        <row r="8">
          <cell r="D8">
            <v>1962.93</v>
          </cell>
          <cell r="S8">
            <v>290.976</v>
          </cell>
        </row>
        <row r="9">
          <cell r="D9">
            <v>1962.71</v>
          </cell>
          <cell r="S9">
            <v>294.91500000000002</v>
          </cell>
        </row>
        <row r="10">
          <cell r="D10">
            <v>1960.71</v>
          </cell>
          <cell r="S10">
            <v>288.81099999999998</v>
          </cell>
        </row>
        <row r="11">
          <cell r="D11">
            <v>1958.9</v>
          </cell>
          <cell r="S11">
            <v>295.94600000000003</v>
          </cell>
        </row>
        <row r="12">
          <cell r="D12">
            <v>1958</v>
          </cell>
          <cell r="S12">
            <v>292.255</v>
          </cell>
        </row>
        <row r="13">
          <cell r="D13">
            <v>1957.2</v>
          </cell>
          <cell r="S13">
            <v>289.76299999999998</v>
          </cell>
        </row>
        <row r="14">
          <cell r="D14">
            <v>1957</v>
          </cell>
          <cell r="S14">
            <v>293.85500000000002</v>
          </cell>
        </row>
        <row r="15">
          <cell r="D15">
            <v>1957</v>
          </cell>
          <cell r="S15">
            <v>289.803</v>
          </cell>
        </row>
        <row r="16">
          <cell r="D16">
            <v>1955.33</v>
          </cell>
          <cell r="S16">
            <v>289.97000000000003</v>
          </cell>
        </row>
        <row r="17">
          <cell r="D17">
            <v>1955.33</v>
          </cell>
          <cell r="S17">
            <v>293.06700000000001</v>
          </cell>
        </row>
        <row r="18">
          <cell r="D18">
            <v>1954.13</v>
          </cell>
          <cell r="S18">
            <v>288.49799999999999</v>
          </cell>
        </row>
        <row r="19">
          <cell r="D19">
            <v>1952.9</v>
          </cell>
          <cell r="S19">
            <v>287.53300000000002</v>
          </cell>
        </row>
        <row r="20">
          <cell r="D20">
            <v>1950</v>
          </cell>
          <cell r="S20">
            <v>287.923</v>
          </cell>
        </row>
        <row r="21">
          <cell r="D21">
            <v>1948.93</v>
          </cell>
          <cell r="S21">
            <v>288.63799999999998</v>
          </cell>
        </row>
        <row r="22">
          <cell r="D22">
            <v>1948.07</v>
          </cell>
          <cell r="S22">
            <v>288.66399999999999</v>
          </cell>
        </row>
        <row r="23">
          <cell r="D23">
            <v>1945.18</v>
          </cell>
          <cell r="S23">
            <v>288.72000000000003</v>
          </cell>
        </row>
        <row r="24">
          <cell r="D24">
            <v>1944.91</v>
          </cell>
          <cell r="S24">
            <v>287.935</v>
          </cell>
        </row>
        <row r="25">
          <cell r="D25">
            <v>1940.92</v>
          </cell>
          <cell r="S25">
            <v>285.31299999999999</v>
          </cell>
        </row>
        <row r="26">
          <cell r="D26">
            <v>1939.36</v>
          </cell>
          <cell r="S26">
            <v>286.899</v>
          </cell>
        </row>
        <row r="27">
          <cell r="D27">
            <v>1939.36</v>
          </cell>
          <cell r="S27">
            <v>287.96899999999999</v>
          </cell>
        </row>
        <row r="28">
          <cell r="D28">
            <v>1939.09</v>
          </cell>
          <cell r="S28">
            <v>285.31799999999998</v>
          </cell>
        </row>
        <row r="29">
          <cell r="D29">
            <v>1938</v>
          </cell>
          <cell r="S29">
            <v>285.661</v>
          </cell>
        </row>
        <row r="30">
          <cell r="D30">
            <v>1937.08</v>
          </cell>
          <cell r="S30">
            <v>284.95600000000002</v>
          </cell>
        </row>
        <row r="31">
          <cell r="D31">
            <v>1937.08</v>
          </cell>
          <cell r="S31">
            <v>285.82900000000001</v>
          </cell>
        </row>
        <row r="32">
          <cell r="D32">
            <v>1936</v>
          </cell>
          <cell r="S32">
            <v>284.77999999999997</v>
          </cell>
        </row>
        <row r="33">
          <cell r="D33">
            <v>1935.2</v>
          </cell>
          <cell r="S33">
            <v>287.69</v>
          </cell>
        </row>
        <row r="34">
          <cell r="D34">
            <v>1932.7</v>
          </cell>
          <cell r="S34">
            <v>285.62400000000002</v>
          </cell>
        </row>
        <row r="35">
          <cell r="D35">
            <v>1931.15</v>
          </cell>
          <cell r="S35">
            <v>284.51100000000002</v>
          </cell>
        </row>
        <row r="36">
          <cell r="D36">
            <v>1931.15</v>
          </cell>
          <cell r="S36">
            <v>285.64400000000001</v>
          </cell>
        </row>
        <row r="37">
          <cell r="D37">
            <v>1929.06</v>
          </cell>
          <cell r="S37">
            <v>289.34899999999999</v>
          </cell>
        </row>
        <row r="38">
          <cell r="D38">
            <v>1926.11</v>
          </cell>
          <cell r="S38">
            <v>284.14999999999998</v>
          </cell>
        </row>
        <row r="39">
          <cell r="D39">
            <v>1926.11</v>
          </cell>
          <cell r="S39">
            <v>291.92500000000001</v>
          </cell>
        </row>
        <row r="40">
          <cell r="D40">
            <v>1925.7</v>
          </cell>
          <cell r="S40">
            <v>282.72800000000001</v>
          </cell>
        </row>
        <row r="41">
          <cell r="D41">
            <v>1925.7</v>
          </cell>
          <cell r="S41">
            <v>283.98700000000002</v>
          </cell>
        </row>
        <row r="42">
          <cell r="D42">
            <v>1925.7</v>
          </cell>
          <cell r="S42">
            <v>285.00200000000001</v>
          </cell>
        </row>
        <row r="43">
          <cell r="D43">
            <v>1925.2</v>
          </cell>
          <cell r="S43">
            <v>283.834</v>
          </cell>
        </row>
        <row r="44">
          <cell r="D44">
            <v>1925.2</v>
          </cell>
          <cell r="S44">
            <v>283.35399999999998</v>
          </cell>
        </row>
        <row r="45">
          <cell r="D45">
            <v>1923.13</v>
          </cell>
          <cell r="S45">
            <v>287.74</v>
          </cell>
        </row>
        <row r="46">
          <cell r="D46">
            <v>1923.13</v>
          </cell>
          <cell r="S46">
            <v>287.30399999999997</v>
          </cell>
        </row>
        <row r="47">
          <cell r="D47">
            <v>1923.13</v>
          </cell>
          <cell r="S47">
            <v>283.43299999999999</v>
          </cell>
        </row>
        <row r="48">
          <cell r="D48">
            <v>1918.33</v>
          </cell>
          <cell r="S48">
            <v>284.39499999999998</v>
          </cell>
        </row>
        <row r="49">
          <cell r="D49">
            <v>1918.33</v>
          </cell>
          <cell r="S49">
            <v>288.69099999999997</v>
          </cell>
        </row>
        <row r="50">
          <cell r="D50">
            <v>1916.1</v>
          </cell>
          <cell r="S50">
            <v>282.59699999999998</v>
          </cell>
        </row>
        <row r="51">
          <cell r="D51">
            <v>1912.6</v>
          </cell>
          <cell r="S51">
            <v>282.93700000000001</v>
          </cell>
        </row>
        <row r="52">
          <cell r="D52">
            <v>1911.42</v>
          </cell>
          <cell r="S52">
            <v>285.392</v>
          </cell>
        </row>
        <row r="53">
          <cell r="D53">
            <v>1910.92</v>
          </cell>
          <cell r="S53">
            <v>281.30799999999999</v>
          </cell>
        </row>
        <row r="54">
          <cell r="D54">
            <v>1910.15</v>
          </cell>
          <cell r="S54">
            <v>278.25099999999998</v>
          </cell>
        </row>
        <row r="55">
          <cell r="D55">
            <v>1901.89</v>
          </cell>
          <cell r="S55">
            <v>278.71699999999998</v>
          </cell>
        </row>
        <row r="56">
          <cell r="D56">
            <v>1900.27</v>
          </cell>
          <cell r="S56">
            <v>278.738</v>
          </cell>
        </row>
        <row r="57">
          <cell r="D57">
            <v>1899</v>
          </cell>
          <cell r="S57">
            <v>277.31</v>
          </cell>
        </row>
        <row r="58">
          <cell r="D58">
            <v>1897.08</v>
          </cell>
          <cell r="S58">
            <v>274.58300000000003</v>
          </cell>
        </row>
        <row r="59">
          <cell r="D59">
            <v>1896.9</v>
          </cell>
          <cell r="S59">
            <v>276.72000000000003</v>
          </cell>
        </row>
        <row r="60">
          <cell r="D60">
            <v>1896.9</v>
          </cell>
          <cell r="S60">
            <v>276.24200000000002</v>
          </cell>
        </row>
        <row r="61">
          <cell r="D61">
            <v>1896.7</v>
          </cell>
          <cell r="S61">
            <v>274.34899999999999</v>
          </cell>
        </row>
        <row r="62">
          <cell r="D62">
            <v>1894</v>
          </cell>
          <cell r="S62">
            <v>280.99599999999998</v>
          </cell>
        </row>
        <row r="63">
          <cell r="D63">
            <v>1892.75</v>
          </cell>
          <cell r="S63">
            <v>278.21100000000001</v>
          </cell>
        </row>
        <row r="64">
          <cell r="D64">
            <v>1890</v>
          </cell>
          <cell r="S64">
            <v>274.44799999999998</v>
          </cell>
        </row>
        <row r="65">
          <cell r="D65">
            <v>1887.54</v>
          </cell>
          <cell r="S65">
            <v>279.012</v>
          </cell>
        </row>
        <row r="66">
          <cell r="D66">
            <v>1886.75</v>
          </cell>
          <cell r="S66">
            <v>277.18099999999998</v>
          </cell>
        </row>
        <row r="67">
          <cell r="D67">
            <v>1883.47</v>
          </cell>
          <cell r="S67">
            <v>276.495</v>
          </cell>
        </row>
        <row r="68">
          <cell r="D68">
            <v>1880.18</v>
          </cell>
          <cell r="S68">
            <v>273.791</v>
          </cell>
        </row>
        <row r="69">
          <cell r="D69">
            <v>1873</v>
          </cell>
          <cell r="S69">
            <v>275.065</v>
          </cell>
        </row>
        <row r="70">
          <cell r="D70">
            <v>1870.2</v>
          </cell>
          <cell r="S70">
            <v>274.45699999999999</v>
          </cell>
        </row>
        <row r="71">
          <cell r="D71">
            <v>1869.83</v>
          </cell>
          <cell r="S71">
            <v>273.613</v>
          </cell>
        </row>
        <row r="72">
          <cell r="D72">
            <v>1868.63</v>
          </cell>
          <cell r="S72">
            <v>277.15800000000002</v>
          </cell>
        </row>
        <row r="73">
          <cell r="D73">
            <v>1864.47</v>
          </cell>
          <cell r="S73">
            <v>274.04199999999997</v>
          </cell>
        </row>
        <row r="74">
          <cell r="D74">
            <v>1863.4</v>
          </cell>
          <cell r="S74">
            <v>278.23099999999999</v>
          </cell>
        </row>
        <row r="75">
          <cell r="D75">
            <v>1857.15</v>
          </cell>
          <cell r="S75">
            <v>270.86200000000002</v>
          </cell>
        </row>
        <row r="76">
          <cell r="D76">
            <v>1855</v>
          </cell>
          <cell r="S76">
            <v>271.24</v>
          </cell>
        </row>
        <row r="77">
          <cell r="D77">
            <v>1850.5</v>
          </cell>
          <cell r="S77">
            <v>271.30799999999999</v>
          </cell>
        </row>
        <row r="78">
          <cell r="D78">
            <v>1846</v>
          </cell>
          <cell r="S78">
            <v>273.11399999999998</v>
          </cell>
        </row>
        <row r="79">
          <cell r="D79">
            <v>1845.13</v>
          </cell>
          <cell r="S79">
            <v>270.83300000000003</v>
          </cell>
        </row>
        <row r="80">
          <cell r="D80">
            <v>1845</v>
          </cell>
          <cell r="S80">
            <v>270.673</v>
          </cell>
        </row>
        <row r="81">
          <cell r="D81">
            <v>1843.9</v>
          </cell>
          <cell r="S81">
            <v>272.596</v>
          </cell>
        </row>
        <row r="82">
          <cell r="D82">
            <v>1843.9</v>
          </cell>
          <cell r="S82">
            <v>274.22000000000003</v>
          </cell>
        </row>
        <row r="83">
          <cell r="D83">
            <v>1843</v>
          </cell>
          <cell r="S83">
            <v>271.98500000000001</v>
          </cell>
        </row>
        <row r="84">
          <cell r="D84">
            <v>1842.17</v>
          </cell>
          <cell r="S84">
            <v>271.06799999999998</v>
          </cell>
        </row>
        <row r="85">
          <cell r="D85">
            <v>1978.94</v>
          </cell>
          <cell r="S85">
            <v>300.06900000000002</v>
          </cell>
        </row>
        <row r="86">
          <cell r="D86">
            <v>1976.18</v>
          </cell>
          <cell r="S86">
            <v>299.83100000000002</v>
          </cell>
        </row>
        <row r="87">
          <cell r="D87">
            <v>1974</v>
          </cell>
          <cell r="S87">
            <v>297.26499999999999</v>
          </cell>
        </row>
        <row r="88">
          <cell r="D88">
            <v>1972.18</v>
          </cell>
          <cell r="S88">
            <v>299.33100000000002</v>
          </cell>
        </row>
        <row r="89">
          <cell r="D89">
            <v>1971.71</v>
          </cell>
          <cell r="S89">
            <v>298.25200000000001</v>
          </cell>
        </row>
        <row r="90">
          <cell r="D90">
            <v>1970.92</v>
          </cell>
          <cell r="S90">
            <v>296.58699999999999</v>
          </cell>
        </row>
        <row r="91">
          <cell r="D91">
            <v>1967.33</v>
          </cell>
          <cell r="S91">
            <v>293.91899999999998</v>
          </cell>
        </row>
        <row r="92">
          <cell r="D92">
            <v>1948.64</v>
          </cell>
          <cell r="S92">
            <v>288.81299999999999</v>
          </cell>
        </row>
        <row r="93">
          <cell r="D93">
            <v>1941.33</v>
          </cell>
          <cell r="S93">
            <v>289.928</v>
          </cell>
        </row>
        <row r="94">
          <cell r="D94">
            <v>1935.36</v>
          </cell>
          <cell r="S94">
            <v>290.32100000000003</v>
          </cell>
        </row>
        <row r="95">
          <cell r="D95">
            <v>1833</v>
          </cell>
          <cell r="S95">
            <v>273.65499999999997</v>
          </cell>
        </row>
        <row r="96">
          <cell r="D96">
            <v>1950.25</v>
          </cell>
          <cell r="S96">
            <v>288.38099999999997</v>
          </cell>
        </row>
        <row r="97">
          <cell r="D97">
            <v>1905.77</v>
          </cell>
          <cell r="S97">
            <v>280.46800000000002</v>
          </cell>
        </row>
        <row r="98">
          <cell r="D98">
            <v>1901.7</v>
          </cell>
          <cell r="S98">
            <v>277.654</v>
          </cell>
        </row>
        <row r="99">
          <cell r="D99">
            <v>1834.93</v>
          </cell>
          <cell r="S99">
            <v>270.69799999999998</v>
          </cell>
        </row>
        <row r="100">
          <cell r="D100">
            <v>1813.66</v>
          </cell>
          <cell r="S100">
            <v>273.88099999999997</v>
          </cell>
        </row>
        <row r="101">
          <cell r="D101">
            <v>1799.34</v>
          </cell>
          <cell r="S101">
            <v>273.64400000000001</v>
          </cell>
        </row>
        <row r="102">
          <cell r="D102">
            <v>1795.94</v>
          </cell>
          <cell r="S102">
            <v>273.28199999999998</v>
          </cell>
        </row>
        <row r="103">
          <cell r="D103">
            <v>1794.1</v>
          </cell>
          <cell r="S103">
            <v>274.44400000000002</v>
          </cell>
        </row>
        <row r="104">
          <cell r="D104">
            <v>1763.7</v>
          </cell>
          <cell r="S104">
            <v>276.267</v>
          </cell>
        </row>
        <row r="105">
          <cell r="D105">
            <v>1762.88</v>
          </cell>
          <cell r="S105">
            <v>275.75099999999998</v>
          </cell>
        </row>
        <row r="106">
          <cell r="D106">
            <v>1749.12</v>
          </cell>
          <cell r="S106">
            <v>271.95600000000002</v>
          </cell>
        </row>
        <row r="107">
          <cell r="D107">
            <v>1722.86</v>
          </cell>
          <cell r="S107">
            <v>271.14499999999998</v>
          </cell>
        </row>
        <row r="108">
          <cell r="D108">
            <v>1681.89</v>
          </cell>
          <cell r="S108">
            <v>271.17899999999997</v>
          </cell>
        </row>
        <row r="109">
          <cell r="D109">
            <v>1609.46</v>
          </cell>
          <cell r="S109">
            <v>268.822</v>
          </cell>
        </row>
        <row r="110">
          <cell r="D110">
            <v>1590.99</v>
          </cell>
          <cell r="S110">
            <v>269.39600000000002</v>
          </cell>
        </row>
        <row r="111">
          <cell r="D111">
            <v>1573.01</v>
          </cell>
          <cell r="S111">
            <v>270.69299999999998</v>
          </cell>
        </row>
        <row r="112">
          <cell r="D112">
            <v>1559.86</v>
          </cell>
          <cell r="S112">
            <v>272.71100000000001</v>
          </cell>
        </row>
        <row r="113">
          <cell r="D113">
            <v>1549.65</v>
          </cell>
          <cell r="S113">
            <v>270.89100000000002</v>
          </cell>
        </row>
        <row r="114">
          <cell r="D114">
            <v>1529.68</v>
          </cell>
          <cell r="S114">
            <v>273.72899999999998</v>
          </cell>
        </row>
        <row r="115">
          <cell r="D115">
            <v>1449.16</v>
          </cell>
          <cell r="S115">
            <v>268.12599999999998</v>
          </cell>
        </row>
        <row r="116">
          <cell r="D116">
            <v>1410.86</v>
          </cell>
          <cell r="S116">
            <v>268.822</v>
          </cell>
        </row>
        <row r="117">
          <cell r="D117">
            <v>1330.12</v>
          </cell>
          <cell r="S117">
            <v>270.79899999999998</v>
          </cell>
        </row>
        <row r="118">
          <cell r="D118">
            <v>1259.51</v>
          </cell>
          <cell r="S118">
            <v>270.16699999999997</v>
          </cell>
        </row>
        <row r="119">
          <cell r="D119">
            <v>1210.96</v>
          </cell>
          <cell r="S119">
            <v>270.29599999999999</v>
          </cell>
        </row>
        <row r="120">
          <cell r="D120">
            <v>1115.94</v>
          </cell>
          <cell r="S120">
            <v>270.93200000000002</v>
          </cell>
        </row>
        <row r="121">
          <cell r="D121">
            <v>914.45</v>
          </cell>
          <cell r="S121">
            <v>273.51</v>
          </cell>
        </row>
        <row r="122">
          <cell r="D122">
            <v>875.41</v>
          </cell>
          <cell r="S122">
            <v>270.85000000000002</v>
          </cell>
        </row>
        <row r="123">
          <cell r="D123">
            <v>822.33</v>
          </cell>
          <cell r="S123">
            <v>272.137</v>
          </cell>
        </row>
        <row r="124">
          <cell r="D124">
            <v>701.25</v>
          </cell>
          <cell r="S124">
            <v>264.01299999999998</v>
          </cell>
        </row>
        <row r="125">
          <cell r="D125">
            <v>669.18</v>
          </cell>
          <cell r="S125">
            <v>265.12200000000001</v>
          </cell>
        </row>
        <row r="126">
          <cell r="D126">
            <v>637</v>
          </cell>
          <cell r="S126">
            <v>263.89699999999999</v>
          </cell>
        </row>
        <row r="127">
          <cell r="D127">
            <v>614.52</v>
          </cell>
          <cell r="S127">
            <v>267.38600000000002</v>
          </cell>
        </row>
        <row r="128">
          <cell r="D128">
            <v>582.41</v>
          </cell>
          <cell r="S128">
            <v>263.02199999999999</v>
          </cell>
        </row>
        <row r="129">
          <cell r="D129">
            <v>557.47</v>
          </cell>
          <cell r="S129">
            <v>266.76299999999998</v>
          </cell>
        </row>
        <row r="130">
          <cell r="D130">
            <v>551.62</v>
          </cell>
          <cell r="S130">
            <v>264.50299999999999</v>
          </cell>
        </row>
        <row r="131">
          <cell r="D131">
            <v>488.43</v>
          </cell>
          <cell r="S131">
            <v>266.22899999999998</v>
          </cell>
        </row>
        <row r="132">
          <cell r="D132">
            <v>436.94</v>
          </cell>
          <cell r="S132">
            <v>266.51799999999997</v>
          </cell>
        </row>
        <row r="133">
          <cell r="D133">
            <v>406.36</v>
          </cell>
          <cell r="S133">
            <v>264.18299999999999</v>
          </cell>
        </row>
        <row r="134">
          <cell r="D134">
            <v>384.23</v>
          </cell>
          <cell r="S134">
            <v>265.05200000000002</v>
          </cell>
        </row>
        <row r="135">
          <cell r="D135">
            <v>317.55</v>
          </cell>
          <cell r="S135">
            <v>270.88600000000002</v>
          </cell>
        </row>
        <row r="136">
          <cell r="D136">
            <v>266.10000000000002</v>
          </cell>
          <cell r="S136">
            <v>267.83699999999999</v>
          </cell>
        </row>
        <row r="137">
          <cell r="D137">
            <v>240.6</v>
          </cell>
          <cell r="S137">
            <v>268.73200000000003</v>
          </cell>
        </row>
        <row r="138">
          <cell r="D138">
            <v>174.53</v>
          </cell>
          <cell r="S138">
            <v>266.88499999999999</v>
          </cell>
        </row>
        <row r="139">
          <cell r="D139">
            <v>153.53</v>
          </cell>
          <cell r="S139">
            <v>265.88799999999998</v>
          </cell>
        </row>
        <row r="140">
          <cell r="D140">
            <v>1894.1</v>
          </cell>
          <cell r="S140">
            <v>277.91199999999998</v>
          </cell>
        </row>
        <row r="141">
          <cell r="D141">
            <v>1957.8</v>
          </cell>
          <cell r="S141">
            <v>290.50900000000001</v>
          </cell>
        </row>
        <row r="142">
          <cell r="D142">
            <v>1859.1</v>
          </cell>
          <cell r="S142">
            <v>274.137</v>
          </cell>
        </row>
        <row r="143">
          <cell r="D143">
            <v>1825.5</v>
          </cell>
          <cell r="S143">
            <v>271.108</v>
          </cell>
        </row>
        <row r="144">
          <cell r="D144">
            <v>1760</v>
          </cell>
          <cell r="S144">
            <v>271.05399999999997</v>
          </cell>
        </row>
        <row r="145">
          <cell r="D145">
            <v>1847.7</v>
          </cell>
          <cell r="S145">
            <v>272.57499999999999</v>
          </cell>
        </row>
        <row r="146">
          <cell r="D146">
            <v>1907.2</v>
          </cell>
          <cell r="S146">
            <v>279.77199999999999</v>
          </cell>
        </row>
        <row r="147">
          <cell r="D147">
            <v>1939.1</v>
          </cell>
          <cell r="S147">
            <v>286.22000000000003</v>
          </cell>
        </row>
        <row r="148">
          <cell r="D148">
            <v>1817.1</v>
          </cell>
          <cell r="S148">
            <v>272.70499999999998</v>
          </cell>
        </row>
      </sheetData>
      <sheetData sheetId="9">
        <row r="3">
          <cell r="AO3">
            <v>1996.2548280000001</v>
          </cell>
          <cell r="AP3">
            <v>311.47500000000002</v>
          </cell>
          <cell r="CG3">
            <v>1993.08</v>
          </cell>
          <cell r="CH3">
            <v>308.95</v>
          </cell>
        </row>
        <row r="4">
          <cell r="AO4">
            <v>1994.4338829999999</v>
          </cell>
          <cell r="AP4">
            <v>310.22000000000003</v>
          </cell>
          <cell r="CG4">
            <v>1992.1882660000001</v>
          </cell>
          <cell r="CH4">
            <v>308.05500000000001</v>
          </cell>
        </row>
        <row r="5">
          <cell r="AO5">
            <v>1992.0084260000001</v>
          </cell>
          <cell r="AP5">
            <v>308.87</v>
          </cell>
          <cell r="CG5">
            <v>1991.723127</v>
          </cell>
          <cell r="CH5">
            <v>307.83</v>
          </cell>
        </row>
        <row r="6">
          <cell r="AO6">
            <v>1989.593791</v>
          </cell>
          <cell r="AP6">
            <v>307.01</v>
          </cell>
          <cell r="CG6">
            <v>1991.279051</v>
          </cell>
          <cell r="CH6">
            <v>307.3</v>
          </cell>
        </row>
        <row r="7">
          <cell r="AO7">
            <v>1982.9220270000001</v>
          </cell>
          <cell r="AP7">
            <v>303.01</v>
          </cell>
          <cell r="CG7">
            <v>1990.457678</v>
          </cell>
          <cell r="CH7">
            <v>306.41499999999996</v>
          </cell>
        </row>
        <row r="8">
          <cell r="AO8">
            <v>1969.7100740000001</v>
          </cell>
          <cell r="AP8">
            <v>295.41499999999996</v>
          </cell>
          <cell r="CG8">
            <v>1989.7258830000001</v>
          </cell>
          <cell r="CH8">
            <v>305.36500000000001</v>
          </cell>
        </row>
        <row r="9">
          <cell r="AO9">
            <v>1955.8193389999999</v>
          </cell>
          <cell r="AP9">
            <v>291.47666666666669</v>
          </cell>
          <cell r="CG9">
            <v>1988.4874030000001</v>
          </cell>
          <cell r="CH9">
            <v>304.64999999999998</v>
          </cell>
        </row>
        <row r="10">
          <cell r="AO10">
            <v>1942.257388</v>
          </cell>
          <cell r="AP10">
            <v>288.82749999999999</v>
          </cell>
          <cell r="CG10">
            <v>1988.0892899999999</v>
          </cell>
          <cell r="CH10">
            <v>304.14</v>
          </cell>
        </row>
        <row r="11">
          <cell r="CG11">
            <v>1987.8104129999999</v>
          </cell>
          <cell r="CH11">
            <v>303.36</v>
          </cell>
        </row>
        <row r="12">
          <cell r="CG12">
            <v>1987.0032799999999</v>
          </cell>
          <cell r="CH12">
            <v>302.82000000000005</v>
          </cell>
        </row>
        <row r="13">
          <cell r="CG13">
            <v>1985.1076390000001</v>
          </cell>
          <cell r="CH13">
            <v>301.66499999999996</v>
          </cell>
        </row>
        <row r="14">
          <cell r="CG14">
            <v>1981.2877060000001</v>
          </cell>
          <cell r="CH14">
            <v>299.78999999999996</v>
          </cell>
        </row>
        <row r="15">
          <cell r="CG15">
            <v>1977.8382019999999</v>
          </cell>
          <cell r="CH15">
            <v>298.67</v>
          </cell>
        </row>
      </sheetData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siro.au/greenhouse-gas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siro.au/greenhouse-gase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siro.au/greenhouse-ga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7"/>
  <sheetViews>
    <sheetView workbookViewId="0">
      <pane ySplit="5" topLeftCell="A6" activePane="bottomLeft" state="frozen"/>
      <selection pane="bottomLeft" activeCell="U41" sqref="U41"/>
    </sheetView>
  </sheetViews>
  <sheetFormatPr defaultColWidth="9.21875" defaultRowHeight="14.4" x14ac:dyDescent="0.3"/>
  <cols>
    <col min="1" max="1" width="4.6640625" style="1" customWidth="1"/>
    <col min="2" max="2" width="4.21875" style="1" bestFit="1" customWidth="1"/>
    <col min="3" max="3" width="3.33203125" style="1" bestFit="1" customWidth="1"/>
    <col min="4" max="4" width="10.33203125" style="6" bestFit="1" customWidth="1"/>
    <col min="5" max="8" width="9.21875" style="1"/>
    <col min="9" max="9" width="4.77734375" style="1" bestFit="1" customWidth="1"/>
    <col min="10" max="10" width="2.77734375" style="1" bestFit="1" customWidth="1"/>
    <col min="11" max="11" width="8.44140625" style="1" bestFit="1" customWidth="1"/>
    <col min="12" max="16384" width="9.21875" style="1"/>
  </cols>
  <sheetData>
    <row r="1" spans="1:11" x14ac:dyDescent="0.3">
      <c r="A1" s="1" t="s">
        <v>1</v>
      </c>
      <c r="B1" s="1" t="s">
        <v>2</v>
      </c>
      <c r="C1" s="1" t="s">
        <v>3</v>
      </c>
      <c r="D1" s="6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</v>
      </c>
      <c r="J1" s="1" t="s">
        <v>12</v>
      </c>
      <c r="K1" s="1" t="s">
        <v>13</v>
      </c>
    </row>
    <row r="2" spans="1:11" x14ac:dyDescent="0.3">
      <c r="A2" s="1" t="s">
        <v>11</v>
      </c>
    </row>
    <row r="3" spans="1:11" x14ac:dyDescent="0.3">
      <c r="A3" s="1" t="s">
        <v>22</v>
      </c>
      <c r="F3" s="4" t="s">
        <v>0</v>
      </c>
    </row>
    <row r="4" spans="1:11" x14ac:dyDescent="0.3">
      <c r="A4" s="1">
        <v>1976</v>
      </c>
      <c r="B4" s="1">
        <v>5</v>
      </c>
      <c r="C4" s="1">
        <v>15</v>
      </c>
      <c r="D4" s="6">
        <v>1976.3688999999999</v>
      </c>
      <c r="E4" s="3">
        <v>328.86099999999999</v>
      </c>
      <c r="F4" s="3">
        <v>0.16500000000000001</v>
      </c>
      <c r="G4" s="3" t="s">
        <v>21</v>
      </c>
      <c r="H4" s="1" t="s">
        <v>9</v>
      </c>
      <c r="I4" s="1">
        <v>1976</v>
      </c>
      <c r="J4" s="5">
        <f t="shared" ref="J4:J51" si="0">COUNTIFS($A:$A,$I4,E:E,"&gt;0")</f>
        <v>8</v>
      </c>
      <c r="K4" s="2">
        <f t="shared" ref="K4:K51" si="1">IFERROR((AVERAGEIFS(E:E,$A:$A,$I4)),"")</f>
        <v>330.17287499999998</v>
      </c>
    </row>
    <row r="5" spans="1:11" x14ac:dyDescent="0.3">
      <c r="A5" s="1">
        <v>1976</v>
      </c>
      <c r="B5" s="1">
        <v>6</v>
      </c>
      <c r="C5" s="1">
        <v>15</v>
      </c>
      <c r="D5" s="6">
        <v>1976.4536000000001</v>
      </c>
      <c r="E5" s="3">
        <v>328.988</v>
      </c>
      <c r="F5" s="3">
        <v>0.28499999999999998</v>
      </c>
      <c r="G5" s="3" t="s">
        <v>21</v>
      </c>
      <c r="H5" s="1" t="s">
        <v>9</v>
      </c>
      <c r="I5" s="1">
        <v>1977</v>
      </c>
      <c r="J5" s="5">
        <f t="shared" si="0"/>
        <v>12</v>
      </c>
      <c r="K5" s="2">
        <f t="shared" si="1"/>
        <v>331.69700000000006</v>
      </c>
    </row>
    <row r="6" spans="1:11" x14ac:dyDescent="0.3">
      <c r="A6" s="1">
        <v>1976</v>
      </c>
      <c r="B6" s="1">
        <v>7</v>
      </c>
      <c r="C6" s="1">
        <v>15</v>
      </c>
      <c r="D6" s="6">
        <v>1976.5355</v>
      </c>
      <c r="E6" s="3">
        <v>329.65300000000002</v>
      </c>
      <c r="F6" s="3">
        <v>0.28199999999999997</v>
      </c>
      <c r="G6" s="3" t="s">
        <v>21</v>
      </c>
      <c r="H6" s="1" t="s">
        <v>9</v>
      </c>
      <c r="I6" s="1">
        <v>1978</v>
      </c>
      <c r="J6" s="5">
        <f t="shared" si="0"/>
        <v>12</v>
      </c>
      <c r="K6" s="2">
        <f t="shared" si="1"/>
        <v>333.476</v>
      </c>
    </row>
    <row r="7" spans="1:11" x14ac:dyDescent="0.3">
      <c r="A7" s="1">
        <v>1976</v>
      </c>
      <c r="B7" s="1">
        <v>8</v>
      </c>
      <c r="C7" s="1">
        <v>15</v>
      </c>
      <c r="D7" s="6">
        <v>1976.6202000000001</v>
      </c>
      <c r="E7" s="3">
        <v>330.55</v>
      </c>
      <c r="F7" s="3">
        <v>0.20100000000000001</v>
      </c>
      <c r="G7" s="3" t="s">
        <v>21</v>
      </c>
      <c r="H7" s="1" t="s">
        <v>9</v>
      </c>
      <c r="I7" s="1">
        <v>1979</v>
      </c>
      <c r="J7" s="5">
        <f t="shared" si="0"/>
        <v>12</v>
      </c>
      <c r="K7" s="2">
        <f t="shared" si="1"/>
        <v>335.25966666666665</v>
      </c>
    </row>
    <row r="8" spans="1:11" x14ac:dyDescent="0.3">
      <c r="A8" s="1">
        <v>1976</v>
      </c>
      <c r="B8" s="1">
        <v>9</v>
      </c>
      <c r="C8" s="1">
        <v>15</v>
      </c>
      <c r="D8" s="6">
        <v>1976.7049</v>
      </c>
      <c r="E8" s="3">
        <v>330.87200000000001</v>
      </c>
      <c r="F8" s="3">
        <v>0.23400000000000001</v>
      </c>
      <c r="G8" s="3" t="s">
        <v>21</v>
      </c>
      <c r="H8" s="1" t="s">
        <v>9</v>
      </c>
      <c r="I8" s="1">
        <v>1980</v>
      </c>
      <c r="J8" s="5">
        <f t="shared" si="0"/>
        <v>12</v>
      </c>
      <c r="K8" s="2">
        <f t="shared" si="1"/>
        <v>336.52616666666671</v>
      </c>
    </row>
    <row r="9" spans="1:11" x14ac:dyDescent="0.3">
      <c r="A9" s="1">
        <v>1976</v>
      </c>
      <c r="B9" s="1">
        <v>10</v>
      </c>
      <c r="C9" s="1">
        <v>15</v>
      </c>
      <c r="D9" s="6">
        <v>1976.7869000000001</v>
      </c>
      <c r="E9" s="3">
        <v>330.899</v>
      </c>
      <c r="F9" s="3">
        <v>1.4999999999999999E-2</v>
      </c>
      <c r="G9" s="3" t="s">
        <v>21</v>
      </c>
      <c r="H9" s="1" t="s">
        <v>9</v>
      </c>
      <c r="I9" s="1">
        <v>1981</v>
      </c>
      <c r="J9" s="5">
        <f t="shared" si="0"/>
        <v>12</v>
      </c>
      <c r="K9" s="2">
        <f t="shared" si="1"/>
        <v>337.6318333333333</v>
      </c>
    </row>
    <row r="10" spans="1:11" x14ac:dyDescent="0.3">
      <c r="A10" s="1">
        <v>1976</v>
      </c>
      <c r="B10" s="1">
        <v>11</v>
      </c>
      <c r="C10" s="1">
        <v>15</v>
      </c>
      <c r="D10" s="6">
        <v>1976.8715999999999</v>
      </c>
      <c r="E10" s="3">
        <v>330.88299999999998</v>
      </c>
      <c r="F10" s="3">
        <v>0.24299999999999999</v>
      </c>
      <c r="G10" s="3">
        <v>2.1459999999999999</v>
      </c>
      <c r="H10" s="1" t="s">
        <v>9</v>
      </c>
      <c r="I10" s="1">
        <v>1982</v>
      </c>
      <c r="J10" s="5">
        <f t="shared" si="0"/>
        <v>12</v>
      </c>
      <c r="K10" s="2">
        <f t="shared" si="1"/>
        <v>338.11775</v>
      </c>
    </row>
    <row r="11" spans="1:11" x14ac:dyDescent="0.3">
      <c r="A11" s="1">
        <v>1976</v>
      </c>
      <c r="B11" s="1">
        <v>12</v>
      </c>
      <c r="C11" s="1">
        <v>15</v>
      </c>
      <c r="D11" s="6">
        <v>1976.9536000000001</v>
      </c>
      <c r="E11" s="3">
        <v>330.67700000000002</v>
      </c>
      <c r="F11" s="3">
        <v>0.187</v>
      </c>
      <c r="G11" s="3">
        <v>2.5119899999999999</v>
      </c>
      <c r="H11" s="1" t="s">
        <v>9</v>
      </c>
      <c r="I11" s="1">
        <v>1983</v>
      </c>
      <c r="J11" s="5">
        <f t="shared" si="0"/>
        <v>12</v>
      </c>
      <c r="K11" s="2">
        <f t="shared" si="1"/>
        <v>340.02141666666665</v>
      </c>
    </row>
    <row r="12" spans="1:11" x14ac:dyDescent="0.3">
      <c r="A12" s="1">
        <v>1977</v>
      </c>
      <c r="B12" s="1">
        <v>1</v>
      </c>
      <c r="C12" s="1">
        <v>15</v>
      </c>
      <c r="D12" s="6">
        <v>1977.0383999999999</v>
      </c>
      <c r="E12" s="3">
        <v>330.529</v>
      </c>
      <c r="F12" s="3">
        <v>0.23499999999999999</v>
      </c>
      <c r="G12" s="3">
        <v>2.14697</v>
      </c>
      <c r="H12" s="1" t="s">
        <v>9</v>
      </c>
      <c r="I12" s="1">
        <v>1984</v>
      </c>
      <c r="J12" s="5">
        <f t="shared" si="0"/>
        <v>12</v>
      </c>
      <c r="K12" s="2">
        <f t="shared" si="1"/>
        <v>341.83916666666664</v>
      </c>
    </row>
    <row r="13" spans="1:11" x14ac:dyDescent="0.3">
      <c r="A13" s="1">
        <v>1977</v>
      </c>
      <c r="B13" s="1">
        <v>2</v>
      </c>
      <c r="C13" s="1">
        <v>15</v>
      </c>
      <c r="D13" s="6">
        <v>1977.1233</v>
      </c>
      <c r="E13" s="3">
        <v>330.54300000000001</v>
      </c>
      <c r="F13" s="3">
        <v>0.19800000000000001</v>
      </c>
      <c r="G13" s="3">
        <v>1.77701</v>
      </c>
      <c r="H13" s="1" t="s">
        <v>9</v>
      </c>
      <c r="I13" s="1">
        <v>1985</v>
      </c>
      <c r="J13" s="5">
        <f t="shared" si="0"/>
        <v>12</v>
      </c>
      <c r="K13" s="2">
        <f t="shared" si="1"/>
        <v>343.26033333333334</v>
      </c>
    </row>
    <row r="14" spans="1:11" x14ac:dyDescent="0.3">
      <c r="A14" s="1">
        <v>1977</v>
      </c>
      <c r="B14" s="1">
        <v>3</v>
      </c>
      <c r="C14" s="1">
        <v>15</v>
      </c>
      <c r="D14" s="6">
        <v>1977.2</v>
      </c>
      <c r="E14" s="3">
        <v>330.72399999999999</v>
      </c>
      <c r="F14" s="3">
        <v>0.11899999999999999</v>
      </c>
      <c r="G14" s="3">
        <v>2.06799</v>
      </c>
      <c r="H14" s="1" t="s">
        <v>9</v>
      </c>
      <c r="I14" s="1">
        <v>1986</v>
      </c>
      <c r="J14" s="5">
        <f t="shared" si="0"/>
        <v>12</v>
      </c>
      <c r="K14" s="2">
        <f t="shared" si="1"/>
        <v>344.46699999999993</v>
      </c>
    </row>
    <row r="15" spans="1:11" x14ac:dyDescent="0.3">
      <c r="A15" s="1">
        <v>1977</v>
      </c>
      <c r="B15" s="1">
        <v>4</v>
      </c>
      <c r="C15" s="1">
        <v>15</v>
      </c>
      <c r="D15" s="6">
        <v>1977.2849000000001</v>
      </c>
      <c r="E15" s="3">
        <v>330.80500000000001</v>
      </c>
      <c r="F15" s="3">
        <v>0.17799999999999999</v>
      </c>
      <c r="G15" s="3">
        <v>2.1350099999999999</v>
      </c>
      <c r="H15" s="1" t="s">
        <v>9</v>
      </c>
      <c r="I15" s="1">
        <v>1987</v>
      </c>
      <c r="J15" s="5">
        <f t="shared" si="0"/>
        <v>12</v>
      </c>
      <c r="K15" s="2">
        <f t="shared" si="1"/>
        <v>346.13208333333336</v>
      </c>
    </row>
    <row r="16" spans="1:11" x14ac:dyDescent="0.3">
      <c r="A16" s="1">
        <v>1977</v>
      </c>
      <c r="B16" s="1">
        <v>5</v>
      </c>
      <c r="C16" s="1">
        <v>15</v>
      </c>
      <c r="D16" s="6">
        <v>1977.3670999999999</v>
      </c>
      <c r="E16" s="3">
        <v>331.00700000000001</v>
      </c>
      <c r="F16" s="3">
        <v>0.13200000000000001</v>
      </c>
      <c r="G16" s="3">
        <v>1.8950199999999999</v>
      </c>
      <c r="H16" s="1" t="s">
        <v>9</v>
      </c>
      <c r="I16" s="1">
        <v>1988</v>
      </c>
      <c r="J16" s="5">
        <f t="shared" si="0"/>
        <v>12</v>
      </c>
      <c r="K16" s="2">
        <f t="shared" si="1"/>
        <v>348.29958333333326</v>
      </c>
    </row>
    <row r="17" spans="1:11" x14ac:dyDescent="0.3">
      <c r="A17" s="1">
        <v>1977</v>
      </c>
      <c r="B17" s="1">
        <v>6</v>
      </c>
      <c r="C17" s="1">
        <v>15</v>
      </c>
      <c r="D17" s="6">
        <v>1977.4521</v>
      </c>
      <c r="E17" s="3">
        <v>331.5</v>
      </c>
      <c r="F17" s="3">
        <v>0.20300000000000001</v>
      </c>
      <c r="G17" s="3">
        <v>1.70001</v>
      </c>
      <c r="H17" s="1" t="s">
        <v>9</v>
      </c>
      <c r="I17" s="1">
        <v>1989</v>
      </c>
      <c r="J17" s="5">
        <f t="shared" si="0"/>
        <v>12</v>
      </c>
      <c r="K17" s="2">
        <f t="shared" si="1"/>
        <v>349.50025000000005</v>
      </c>
    </row>
    <row r="18" spans="1:11" x14ac:dyDescent="0.3">
      <c r="A18" s="1">
        <v>1977</v>
      </c>
      <c r="B18" s="1">
        <v>7</v>
      </c>
      <c r="C18" s="1">
        <v>15</v>
      </c>
      <c r="D18" s="6">
        <v>1977.5342000000001</v>
      </c>
      <c r="E18" s="3">
        <v>331.8</v>
      </c>
      <c r="F18" s="3">
        <v>0.20599999999999999</v>
      </c>
      <c r="G18" s="3">
        <v>1.5649999999999999</v>
      </c>
      <c r="H18" s="1" t="s">
        <v>9</v>
      </c>
      <c r="I18" s="1">
        <v>1990</v>
      </c>
      <c r="J18" s="5">
        <f t="shared" si="0"/>
        <v>12</v>
      </c>
      <c r="K18" s="2">
        <f t="shared" si="1"/>
        <v>350.97841666666665</v>
      </c>
    </row>
    <row r="19" spans="1:11" x14ac:dyDescent="0.3">
      <c r="A19" s="1">
        <v>1977</v>
      </c>
      <c r="B19" s="1">
        <v>8</v>
      </c>
      <c r="C19" s="1">
        <v>15</v>
      </c>
      <c r="D19" s="6">
        <v>1977.6192000000001</v>
      </c>
      <c r="E19" s="3">
        <v>332.327</v>
      </c>
      <c r="F19" s="3">
        <v>0.216</v>
      </c>
      <c r="G19" s="3">
        <v>1.6319900000000001</v>
      </c>
      <c r="H19" s="1" t="s">
        <v>9</v>
      </c>
      <c r="I19" s="1">
        <v>1991</v>
      </c>
      <c r="J19" s="5">
        <f t="shared" si="0"/>
        <v>12</v>
      </c>
      <c r="K19" s="2">
        <f t="shared" si="1"/>
        <v>352.67333333333335</v>
      </c>
    </row>
    <row r="20" spans="1:11" x14ac:dyDescent="0.3">
      <c r="A20" s="1">
        <v>1977</v>
      </c>
      <c r="B20" s="1">
        <v>9</v>
      </c>
      <c r="C20" s="1">
        <v>15</v>
      </c>
      <c r="D20" s="6">
        <v>1977.7040999999999</v>
      </c>
      <c r="E20" s="3">
        <v>332.94</v>
      </c>
      <c r="F20" s="3">
        <v>0.113</v>
      </c>
      <c r="G20" s="3">
        <v>1.67401</v>
      </c>
      <c r="H20" s="1" t="s">
        <v>9</v>
      </c>
      <c r="I20" s="1">
        <v>1992</v>
      </c>
      <c r="J20" s="5">
        <f t="shared" si="0"/>
        <v>12</v>
      </c>
      <c r="K20" s="2">
        <f t="shared" si="1"/>
        <v>354.18299999999999</v>
      </c>
    </row>
    <row r="21" spans="1:11" x14ac:dyDescent="0.3">
      <c r="A21" s="1">
        <v>1977</v>
      </c>
      <c r="B21" s="1">
        <v>10</v>
      </c>
      <c r="C21" s="1">
        <v>15</v>
      </c>
      <c r="D21" s="6">
        <v>1977.7863</v>
      </c>
      <c r="E21" s="3">
        <v>333.03399999999999</v>
      </c>
      <c r="F21" s="3">
        <v>0.19900000000000001</v>
      </c>
      <c r="G21" s="3">
        <v>1.6690100000000001</v>
      </c>
      <c r="H21" s="1" t="s">
        <v>9</v>
      </c>
      <c r="I21" s="1">
        <v>1993</v>
      </c>
      <c r="J21" s="5">
        <f t="shared" si="0"/>
        <v>12</v>
      </c>
      <c r="K21" s="2">
        <f t="shared" si="1"/>
        <v>355.03258333333332</v>
      </c>
    </row>
    <row r="22" spans="1:11" x14ac:dyDescent="0.3">
      <c r="A22" s="1">
        <v>1977</v>
      </c>
      <c r="B22" s="1">
        <v>11</v>
      </c>
      <c r="C22" s="1">
        <v>15</v>
      </c>
      <c r="D22" s="6">
        <v>1977.8712</v>
      </c>
      <c r="E22" s="3">
        <v>332.77800000000002</v>
      </c>
      <c r="F22" s="3">
        <v>0.22600000000000001</v>
      </c>
      <c r="G22" s="3">
        <v>1.6390100000000001</v>
      </c>
      <c r="H22" s="1" t="s">
        <v>9</v>
      </c>
      <c r="I22" s="1">
        <v>1994</v>
      </c>
      <c r="J22" s="5">
        <f t="shared" si="0"/>
        <v>12</v>
      </c>
      <c r="K22" s="2">
        <f t="shared" si="1"/>
        <v>356.50333333333333</v>
      </c>
    </row>
    <row r="23" spans="1:11" x14ac:dyDescent="0.3">
      <c r="A23" s="1">
        <v>1977</v>
      </c>
      <c r="B23" s="1">
        <v>12</v>
      </c>
      <c r="C23" s="1">
        <v>15</v>
      </c>
      <c r="D23" s="6">
        <v>1977.9534000000001</v>
      </c>
      <c r="E23" s="3">
        <v>332.37700000000001</v>
      </c>
      <c r="F23" s="3">
        <v>0.25900000000000001</v>
      </c>
      <c r="G23" s="3">
        <v>1.51501</v>
      </c>
      <c r="H23" s="1" t="s">
        <v>9</v>
      </c>
      <c r="I23" s="1">
        <v>1995</v>
      </c>
      <c r="J23" s="5">
        <f t="shared" si="0"/>
        <v>12</v>
      </c>
      <c r="K23" s="2">
        <f t="shared" si="1"/>
        <v>358.46308333333332</v>
      </c>
    </row>
    <row r="24" spans="1:11" x14ac:dyDescent="0.3">
      <c r="A24" s="1">
        <v>1978</v>
      </c>
      <c r="B24" s="1">
        <v>1</v>
      </c>
      <c r="C24" s="1">
        <v>15</v>
      </c>
      <c r="D24" s="6">
        <v>1978.0383999999999</v>
      </c>
      <c r="E24" s="3">
        <v>332.09399999999999</v>
      </c>
      <c r="F24" s="3">
        <v>0.20100000000000001</v>
      </c>
      <c r="G24" s="3">
        <v>1.5169999999999999</v>
      </c>
      <c r="H24" s="1" t="s">
        <v>9</v>
      </c>
      <c r="I24" s="1">
        <v>1996</v>
      </c>
      <c r="J24" s="5">
        <f t="shared" si="0"/>
        <v>12</v>
      </c>
      <c r="K24" s="2">
        <f t="shared" si="1"/>
        <v>359.9950833333333</v>
      </c>
    </row>
    <row r="25" spans="1:11" x14ac:dyDescent="0.3">
      <c r="A25" s="1">
        <v>1978</v>
      </c>
      <c r="B25" s="1">
        <v>2</v>
      </c>
      <c r="C25" s="1">
        <v>15</v>
      </c>
      <c r="D25" s="6">
        <v>1978.1233</v>
      </c>
      <c r="E25" s="3">
        <v>332.17500000000001</v>
      </c>
      <c r="F25" s="3">
        <v>0.245</v>
      </c>
      <c r="G25" s="3">
        <v>1.599</v>
      </c>
      <c r="H25" s="1" t="s">
        <v>9</v>
      </c>
      <c r="I25" s="1">
        <v>1997</v>
      </c>
      <c r="J25" s="5">
        <f t="shared" si="0"/>
        <v>12</v>
      </c>
      <c r="K25" s="2">
        <f t="shared" si="1"/>
        <v>361.35491666666661</v>
      </c>
    </row>
    <row r="26" spans="1:11" x14ac:dyDescent="0.3">
      <c r="A26" s="1">
        <v>1978</v>
      </c>
      <c r="B26" s="1">
        <v>3</v>
      </c>
      <c r="C26" s="1">
        <v>15</v>
      </c>
      <c r="D26" s="6">
        <v>1978.2</v>
      </c>
      <c r="E26" s="3">
        <v>332.39800000000002</v>
      </c>
      <c r="F26" s="3">
        <v>0.19800000000000001</v>
      </c>
      <c r="G26" s="3">
        <v>2.0369899999999999</v>
      </c>
      <c r="H26" s="1" t="s">
        <v>9</v>
      </c>
      <c r="I26" s="1">
        <v>1998</v>
      </c>
      <c r="J26" s="5">
        <f t="shared" si="0"/>
        <v>12</v>
      </c>
      <c r="K26" s="2">
        <f t="shared" si="1"/>
        <v>363.86883333333327</v>
      </c>
    </row>
    <row r="27" spans="1:11" x14ac:dyDescent="0.3">
      <c r="A27" s="1">
        <v>1978</v>
      </c>
      <c r="B27" s="1">
        <v>4</v>
      </c>
      <c r="C27" s="1">
        <v>15</v>
      </c>
      <c r="D27" s="6">
        <v>1978.2849000000001</v>
      </c>
      <c r="E27" s="3">
        <v>332.47399999999999</v>
      </c>
      <c r="F27" s="3">
        <v>0.20100000000000001</v>
      </c>
      <c r="G27" s="3">
        <v>2.29901</v>
      </c>
      <c r="H27" s="1" t="s">
        <v>9</v>
      </c>
      <c r="I27" s="1">
        <v>1999</v>
      </c>
      <c r="J27" s="5">
        <f t="shared" si="0"/>
        <v>12</v>
      </c>
      <c r="K27" s="2">
        <f t="shared" si="1"/>
        <v>365.78150000000005</v>
      </c>
    </row>
    <row r="28" spans="1:11" x14ac:dyDescent="0.3">
      <c r="A28" s="1">
        <v>1978</v>
      </c>
      <c r="B28" s="1">
        <v>5</v>
      </c>
      <c r="C28" s="1">
        <v>15</v>
      </c>
      <c r="D28" s="6">
        <v>1978.3670999999999</v>
      </c>
      <c r="E28" s="3">
        <v>332.64600000000002</v>
      </c>
      <c r="F28" s="3">
        <v>0.2</v>
      </c>
      <c r="G28" s="3">
        <v>2.0479699999999998</v>
      </c>
      <c r="H28" s="1" t="s">
        <v>9</v>
      </c>
      <c r="I28" s="1">
        <v>2000</v>
      </c>
      <c r="J28" s="5">
        <f t="shared" si="0"/>
        <v>12</v>
      </c>
      <c r="K28" s="2">
        <f t="shared" si="1"/>
        <v>367.03733333333338</v>
      </c>
    </row>
    <row r="29" spans="1:11" x14ac:dyDescent="0.3">
      <c r="A29" s="1">
        <v>1978</v>
      </c>
      <c r="B29" s="1">
        <v>6</v>
      </c>
      <c r="C29" s="1">
        <v>15</v>
      </c>
      <c r="D29" s="6">
        <v>1978.4521</v>
      </c>
      <c r="E29" s="3">
        <v>333.01499999999999</v>
      </c>
      <c r="F29" s="3">
        <v>0.10199999999999999</v>
      </c>
      <c r="G29" s="3">
        <v>2.1539899999999998</v>
      </c>
      <c r="H29" s="1" t="s">
        <v>9</v>
      </c>
      <c r="I29" s="1">
        <v>2001</v>
      </c>
      <c r="J29" s="5">
        <f t="shared" si="0"/>
        <v>12</v>
      </c>
      <c r="K29" s="2">
        <f t="shared" si="1"/>
        <v>368.54825000000005</v>
      </c>
    </row>
    <row r="30" spans="1:11" x14ac:dyDescent="0.3">
      <c r="A30" s="1">
        <v>1978</v>
      </c>
      <c r="B30" s="1">
        <v>7</v>
      </c>
      <c r="C30" s="1">
        <v>15</v>
      </c>
      <c r="D30" s="6">
        <v>1978.5342000000001</v>
      </c>
      <c r="E30" s="3">
        <v>333.31700000000001</v>
      </c>
      <c r="F30" s="3">
        <v>0.23599999999999999</v>
      </c>
      <c r="G30" s="3">
        <v>2.4039899999999998</v>
      </c>
      <c r="H30" s="1" t="s">
        <v>9</v>
      </c>
      <c r="I30" s="1">
        <v>2002</v>
      </c>
      <c r="J30" s="5">
        <f t="shared" si="0"/>
        <v>12</v>
      </c>
      <c r="K30" s="2">
        <f t="shared" si="1"/>
        <v>370.74625000000009</v>
      </c>
    </row>
    <row r="31" spans="1:11" x14ac:dyDescent="0.3">
      <c r="A31" s="1">
        <v>1978</v>
      </c>
      <c r="B31" s="1">
        <v>8</v>
      </c>
      <c r="C31" s="1">
        <v>15</v>
      </c>
      <c r="D31" s="6">
        <v>1978.6192000000001</v>
      </c>
      <c r="E31" s="3">
        <v>333.92599999999999</v>
      </c>
      <c r="F31" s="3">
        <v>0.36299999999999999</v>
      </c>
      <c r="G31" s="3">
        <v>2.41</v>
      </c>
      <c r="H31" s="1" t="s">
        <v>9</v>
      </c>
      <c r="I31" s="1">
        <v>2003</v>
      </c>
      <c r="J31" s="5">
        <f t="shared" si="0"/>
        <v>12</v>
      </c>
      <c r="K31" s="2">
        <f t="shared" si="1"/>
        <v>372.99708333333336</v>
      </c>
    </row>
    <row r="32" spans="1:11" x14ac:dyDescent="0.3">
      <c r="A32" s="1">
        <v>1978</v>
      </c>
      <c r="B32" s="1">
        <v>9</v>
      </c>
      <c r="C32" s="1">
        <v>15</v>
      </c>
      <c r="D32" s="6">
        <v>1978.7040999999999</v>
      </c>
      <c r="E32" s="3">
        <v>334.97699999999998</v>
      </c>
      <c r="F32" s="3">
        <v>0.38700000000000001</v>
      </c>
      <c r="G32" s="3">
        <v>2.3649900000000001</v>
      </c>
      <c r="H32" s="1" t="s">
        <v>9</v>
      </c>
      <c r="I32" s="1">
        <v>2004</v>
      </c>
      <c r="J32" s="5">
        <f t="shared" si="0"/>
        <v>12</v>
      </c>
      <c r="K32" s="2">
        <f t="shared" si="1"/>
        <v>374.88475</v>
      </c>
    </row>
    <row r="33" spans="1:11" x14ac:dyDescent="0.3">
      <c r="A33" s="1">
        <v>1978</v>
      </c>
      <c r="B33" s="1">
        <v>10</v>
      </c>
      <c r="C33" s="1">
        <v>15</v>
      </c>
      <c r="D33" s="6">
        <v>1978.7863</v>
      </c>
      <c r="E33" s="3">
        <v>335.33300000000003</v>
      </c>
      <c r="F33" s="3">
        <v>0.20300000000000001</v>
      </c>
      <c r="G33" s="3">
        <v>2.2290000000000001</v>
      </c>
      <c r="H33" s="1" t="s">
        <v>9</v>
      </c>
      <c r="I33" s="1">
        <v>2005</v>
      </c>
      <c r="J33" s="5">
        <f t="shared" si="0"/>
        <v>12</v>
      </c>
      <c r="K33" s="2">
        <f t="shared" si="1"/>
        <v>376.88466666666676</v>
      </c>
    </row>
    <row r="34" spans="1:11" x14ac:dyDescent="0.3">
      <c r="A34" s="1">
        <v>1978</v>
      </c>
      <c r="B34" s="1">
        <v>11</v>
      </c>
      <c r="C34" s="1">
        <v>15</v>
      </c>
      <c r="D34" s="6">
        <v>1978.8712</v>
      </c>
      <c r="E34" s="3">
        <v>334.82600000000002</v>
      </c>
      <c r="F34" s="3">
        <v>0.20300000000000001</v>
      </c>
      <c r="G34" s="3">
        <v>1.98001</v>
      </c>
      <c r="H34" s="1" t="s">
        <v>9</v>
      </c>
      <c r="I34" s="1">
        <v>2006</v>
      </c>
      <c r="J34" s="5">
        <f t="shared" si="0"/>
        <v>12</v>
      </c>
      <c r="K34" s="2">
        <f t="shared" si="1"/>
        <v>378.8100833333333</v>
      </c>
    </row>
    <row r="35" spans="1:11" x14ac:dyDescent="0.3">
      <c r="A35" s="1">
        <v>1978</v>
      </c>
      <c r="B35" s="1">
        <v>12</v>
      </c>
      <c r="C35" s="1">
        <v>15</v>
      </c>
      <c r="D35" s="6">
        <v>1978.9534000000001</v>
      </c>
      <c r="E35" s="3">
        <v>334.53100000000001</v>
      </c>
      <c r="F35" s="3">
        <v>0.19700000000000001</v>
      </c>
      <c r="G35" s="3">
        <v>1.87399</v>
      </c>
      <c r="H35" s="1" t="s">
        <v>9</v>
      </c>
      <c r="I35" s="1">
        <v>2007</v>
      </c>
      <c r="J35" s="5">
        <f t="shared" si="0"/>
        <v>12</v>
      </c>
      <c r="K35" s="2">
        <f t="shared" si="1"/>
        <v>380.69691666666671</v>
      </c>
    </row>
    <row r="36" spans="1:11" x14ac:dyDescent="0.3">
      <c r="A36" s="1">
        <v>1979</v>
      </c>
      <c r="B36" s="1">
        <v>1</v>
      </c>
      <c r="C36" s="1">
        <v>15</v>
      </c>
      <c r="D36" s="6">
        <v>1979.0383999999999</v>
      </c>
      <c r="E36" s="3">
        <v>334.49799999999999</v>
      </c>
      <c r="F36" s="3">
        <v>0.21099999999999999</v>
      </c>
      <c r="G36" s="3">
        <v>2.1350099999999999</v>
      </c>
      <c r="H36" s="1" t="s">
        <v>9</v>
      </c>
      <c r="I36" s="1">
        <v>2008</v>
      </c>
      <c r="J36" s="5">
        <f t="shared" si="0"/>
        <v>12</v>
      </c>
      <c r="K36" s="2">
        <f t="shared" si="1"/>
        <v>382.82774999999998</v>
      </c>
    </row>
    <row r="37" spans="1:11" x14ac:dyDescent="0.3">
      <c r="A37" s="1">
        <v>1979</v>
      </c>
      <c r="B37" s="1">
        <v>2</v>
      </c>
      <c r="C37" s="1">
        <v>15</v>
      </c>
      <c r="D37" s="6">
        <v>1979.1233</v>
      </c>
      <c r="E37" s="3">
        <v>334.58499999999998</v>
      </c>
      <c r="F37" s="3">
        <v>0.21</v>
      </c>
      <c r="G37" s="3">
        <v>2.0100099999999999</v>
      </c>
      <c r="H37" s="1" t="s">
        <v>9</v>
      </c>
      <c r="I37" s="1">
        <v>2009</v>
      </c>
      <c r="J37" s="5">
        <f t="shared" si="0"/>
        <v>12</v>
      </c>
      <c r="K37" s="2">
        <f t="shared" si="1"/>
        <v>384.38716666666664</v>
      </c>
    </row>
    <row r="38" spans="1:11" x14ac:dyDescent="0.3">
      <c r="A38" s="1">
        <v>1979</v>
      </c>
      <c r="B38" s="1">
        <v>3</v>
      </c>
      <c r="C38" s="1">
        <v>15</v>
      </c>
      <c r="D38" s="6">
        <v>1979.2</v>
      </c>
      <c r="E38" s="3">
        <v>334.76299999999998</v>
      </c>
      <c r="F38" s="3">
        <v>0.19800000000000001</v>
      </c>
      <c r="G38" s="3">
        <v>1.004</v>
      </c>
      <c r="H38" s="1" t="s">
        <v>9</v>
      </c>
      <c r="I38" s="1">
        <v>2010</v>
      </c>
      <c r="J38" s="5">
        <f t="shared" si="0"/>
        <v>12</v>
      </c>
      <c r="K38" s="2">
        <f t="shared" si="1"/>
        <v>386.19958333333335</v>
      </c>
    </row>
    <row r="39" spans="1:11" x14ac:dyDescent="0.3">
      <c r="A39" s="1">
        <v>1979</v>
      </c>
      <c r="B39" s="1">
        <v>4</v>
      </c>
      <c r="C39" s="1">
        <v>15</v>
      </c>
      <c r="D39" s="6">
        <v>1979.2849000000001</v>
      </c>
      <c r="E39" s="3">
        <v>334.70299999999997</v>
      </c>
      <c r="F39" s="3">
        <v>0.217</v>
      </c>
      <c r="G39" s="3">
        <v>0.64599600000000001</v>
      </c>
      <c r="H39" s="1" t="s">
        <v>9</v>
      </c>
      <c r="I39" s="1">
        <v>2011</v>
      </c>
      <c r="J39" s="5">
        <f t="shared" si="0"/>
        <v>12</v>
      </c>
      <c r="K39" s="2">
        <f t="shared" si="1"/>
        <v>388.07408333333336</v>
      </c>
    </row>
    <row r="40" spans="1:11" x14ac:dyDescent="0.3">
      <c r="A40" s="1">
        <v>1979</v>
      </c>
      <c r="B40" s="1">
        <v>5</v>
      </c>
      <c r="C40" s="1">
        <v>15</v>
      </c>
      <c r="D40" s="6">
        <v>1979.3670999999999</v>
      </c>
      <c r="E40" s="3">
        <v>334.62599999999998</v>
      </c>
      <c r="F40" s="3">
        <v>0.17699999999999999</v>
      </c>
      <c r="G40" s="3">
        <v>1.1450199999999999</v>
      </c>
      <c r="H40" s="1" t="s">
        <v>9</v>
      </c>
      <c r="I40" s="1">
        <v>2012</v>
      </c>
      <c r="J40" s="5">
        <f t="shared" si="0"/>
        <v>12</v>
      </c>
      <c r="K40" s="2">
        <f t="shared" si="1"/>
        <v>390.11766666666671</v>
      </c>
    </row>
    <row r="41" spans="1:11" x14ac:dyDescent="0.3">
      <c r="A41" s="1">
        <v>1979</v>
      </c>
      <c r="B41" s="1">
        <v>6</v>
      </c>
      <c r="C41" s="1">
        <v>15</v>
      </c>
      <c r="D41" s="6">
        <v>1979.4521</v>
      </c>
      <c r="E41" s="3">
        <v>334.88900000000001</v>
      </c>
      <c r="F41" s="3">
        <v>0.19700000000000001</v>
      </c>
      <c r="G41" s="3">
        <v>1.202</v>
      </c>
      <c r="H41" s="1" t="s">
        <v>9</v>
      </c>
      <c r="I41" s="1">
        <v>2013</v>
      </c>
      <c r="J41" s="5">
        <f t="shared" si="0"/>
        <v>12</v>
      </c>
      <c r="K41" s="2">
        <f t="shared" si="1"/>
        <v>392.96724999999998</v>
      </c>
    </row>
    <row r="42" spans="1:11" x14ac:dyDescent="0.3">
      <c r="A42" s="1">
        <v>1979</v>
      </c>
      <c r="B42" s="1">
        <v>7</v>
      </c>
      <c r="C42" s="1">
        <v>15</v>
      </c>
      <c r="D42" s="6">
        <v>1979.5342000000001</v>
      </c>
      <c r="E42" s="3">
        <v>335.452</v>
      </c>
      <c r="F42" s="3">
        <v>0.26500000000000001</v>
      </c>
      <c r="G42" s="3">
        <v>1.1800200000000001</v>
      </c>
      <c r="H42" s="1" t="s">
        <v>9</v>
      </c>
      <c r="I42" s="1">
        <v>2014</v>
      </c>
      <c r="J42" s="5">
        <f t="shared" si="0"/>
        <v>12</v>
      </c>
      <c r="K42" s="2">
        <f t="shared" si="1"/>
        <v>394.99425000000002</v>
      </c>
    </row>
    <row r="43" spans="1:11" x14ac:dyDescent="0.3">
      <c r="A43" s="1">
        <v>1979</v>
      </c>
      <c r="B43" s="1">
        <v>8</v>
      </c>
      <c r="C43" s="1">
        <v>15</v>
      </c>
      <c r="D43" s="6">
        <v>1979.6192000000001</v>
      </c>
      <c r="E43" s="3">
        <v>335.93599999999998</v>
      </c>
      <c r="F43" s="3">
        <v>0.17199999999999999</v>
      </c>
      <c r="G43" s="3">
        <v>1.19302</v>
      </c>
      <c r="H43" s="1" t="s">
        <v>9</v>
      </c>
      <c r="I43" s="1">
        <v>2015</v>
      </c>
      <c r="J43" s="5">
        <f t="shared" si="0"/>
        <v>12</v>
      </c>
      <c r="K43" s="2">
        <f t="shared" si="1"/>
        <v>397.45625000000001</v>
      </c>
    </row>
    <row r="44" spans="1:11" x14ac:dyDescent="0.3">
      <c r="A44" s="1">
        <v>1979</v>
      </c>
      <c r="B44" s="1">
        <v>9</v>
      </c>
      <c r="C44" s="1">
        <v>15</v>
      </c>
      <c r="D44" s="6">
        <v>1979.7040999999999</v>
      </c>
      <c r="E44" s="3">
        <v>335.98099999999999</v>
      </c>
      <c r="F44" s="3">
        <v>0.21299999999999999</v>
      </c>
      <c r="G44" s="3">
        <v>1.1350100000000001</v>
      </c>
      <c r="H44" s="1" t="s">
        <v>9</v>
      </c>
      <c r="I44" s="1">
        <v>2016</v>
      </c>
      <c r="J44" s="5">
        <f t="shared" si="0"/>
        <v>12</v>
      </c>
      <c r="K44" s="2">
        <f t="shared" si="1"/>
        <v>400.62716666666665</v>
      </c>
    </row>
    <row r="45" spans="1:11" x14ac:dyDescent="0.3">
      <c r="A45" s="1">
        <v>1979</v>
      </c>
      <c r="B45" s="1">
        <v>10</v>
      </c>
      <c r="C45" s="1">
        <v>15</v>
      </c>
      <c r="D45" s="6">
        <v>1979.7863</v>
      </c>
      <c r="E45" s="3">
        <v>335.97899999999998</v>
      </c>
      <c r="F45" s="3">
        <v>2.4E-2</v>
      </c>
      <c r="G45" s="3">
        <v>1.3540000000000001</v>
      </c>
      <c r="H45" s="1" t="s">
        <v>9</v>
      </c>
      <c r="I45" s="1">
        <v>2017</v>
      </c>
      <c r="J45" s="5">
        <f t="shared" si="0"/>
        <v>12</v>
      </c>
      <c r="K45" s="2">
        <f t="shared" si="1"/>
        <v>402.56558333333334</v>
      </c>
    </row>
    <row r="46" spans="1:11" x14ac:dyDescent="0.3">
      <c r="A46" s="1">
        <v>1979</v>
      </c>
      <c r="B46" s="1">
        <v>11</v>
      </c>
      <c r="C46" s="1">
        <v>15</v>
      </c>
      <c r="D46" s="6">
        <v>1979.8712</v>
      </c>
      <c r="E46" s="3">
        <v>335.971</v>
      </c>
      <c r="F46" s="3">
        <v>0.215</v>
      </c>
      <c r="G46" s="3">
        <v>1.5589900000000001</v>
      </c>
      <c r="H46" s="1" t="s">
        <v>9</v>
      </c>
      <c r="I46" s="1">
        <v>2018</v>
      </c>
      <c r="J46" s="5">
        <f t="shared" si="0"/>
        <v>12</v>
      </c>
      <c r="K46" s="2">
        <f t="shared" si="1"/>
        <v>405.0306666666666</v>
      </c>
    </row>
    <row r="47" spans="1:11" x14ac:dyDescent="0.3">
      <c r="A47" s="1">
        <v>1979</v>
      </c>
      <c r="B47" s="1">
        <v>12</v>
      </c>
      <c r="C47" s="1">
        <v>15</v>
      </c>
      <c r="D47" s="6">
        <v>1979.9534000000001</v>
      </c>
      <c r="E47" s="3">
        <v>335.733</v>
      </c>
      <c r="F47" s="3">
        <v>0.24199999999999999</v>
      </c>
      <c r="G47" s="3">
        <v>1.6430100000000001</v>
      </c>
      <c r="H47" s="1" t="s">
        <v>9</v>
      </c>
      <c r="I47" s="1">
        <v>2019</v>
      </c>
      <c r="J47" s="5">
        <f t="shared" si="0"/>
        <v>12</v>
      </c>
      <c r="K47" s="2">
        <f t="shared" si="1"/>
        <v>407.48499999999996</v>
      </c>
    </row>
    <row r="48" spans="1:11" x14ac:dyDescent="0.3">
      <c r="A48" s="1">
        <v>1980</v>
      </c>
      <c r="B48" s="1">
        <v>1</v>
      </c>
      <c r="C48" s="1">
        <v>15</v>
      </c>
      <c r="D48" s="6">
        <v>1980.0382999999999</v>
      </c>
      <c r="E48" s="3">
        <v>335.678</v>
      </c>
      <c r="F48" s="3">
        <v>0.20399999999999999</v>
      </c>
      <c r="G48" s="3">
        <v>1.478</v>
      </c>
      <c r="H48" s="1" t="s">
        <v>9</v>
      </c>
      <c r="I48" s="1">
        <v>2020</v>
      </c>
      <c r="J48" s="5">
        <f t="shared" si="0"/>
        <v>12</v>
      </c>
      <c r="K48" s="2">
        <f t="shared" si="1"/>
        <v>409.84991666666673</v>
      </c>
    </row>
    <row r="49" spans="1:11" x14ac:dyDescent="0.3">
      <c r="A49" s="1">
        <v>1980</v>
      </c>
      <c r="B49" s="1">
        <v>2</v>
      </c>
      <c r="C49" s="1">
        <v>15</v>
      </c>
      <c r="D49" s="6">
        <v>1980.123</v>
      </c>
      <c r="E49" s="3">
        <v>335.77800000000002</v>
      </c>
      <c r="F49" s="3">
        <v>0.188</v>
      </c>
      <c r="G49" s="3">
        <v>1.1599999999999999</v>
      </c>
      <c r="H49" s="1" t="s">
        <v>9</v>
      </c>
      <c r="I49" s="1">
        <v>2021</v>
      </c>
      <c r="J49" s="5">
        <f t="shared" si="0"/>
        <v>12</v>
      </c>
      <c r="K49" s="2">
        <f t="shared" si="1"/>
        <v>412.03199999999998</v>
      </c>
    </row>
    <row r="50" spans="1:11" x14ac:dyDescent="0.3">
      <c r="A50" s="1">
        <v>1980</v>
      </c>
      <c r="B50" s="1">
        <v>3</v>
      </c>
      <c r="C50" s="1">
        <v>15</v>
      </c>
      <c r="D50" s="6">
        <v>1980.2021999999999</v>
      </c>
      <c r="E50" s="3">
        <v>335.89800000000002</v>
      </c>
      <c r="F50" s="3">
        <v>0.17899999999999999</v>
      </c>
      <c r="G50" s="3">
        <v>1.2090099999999999</v>
      </c>
      <c r="H50" s="1" t="s">
        <v>9</v>
      </c>
      <c r="I50" s="1">
        <v>2022</v>
      </c>
      <c r="J50" s="5">
        <f t="shared" si="0"/>
        <v>12</v>
      </c>
      <c r="K50" s="2">
        <f t="shared" si="1"/>
        <v>414.37608333333333</v>
      </c>
    </row>
    <row r="51" spans="1:11" x14ac:dyDescent="0.3">
      <c r="A51" s="1">
        <v>1980</v>
      </c>
      <c r="B51" s="1">
        <v>4</v>
      </c>
      <c r="C51" s="1">
        <v>15</v>
      </c>
      <c r="D51" s="6">
        <v>1980.2869000000001</v>
      </c>
      <c r="E51" s="3">
        <v>336.05700000000002</v>
      </c>
      <c r="F51" s="3">
        <v>0.17899999999999999</v>
      </c>
      <c r="G51" s="3">
        <v>1.1369899999999999</v>
      </c>
      <c r="H51" s="1" t="s">
        <v>9</v>
      </c>
      <c r="I51" s="1">
        <v>2023</v>
      </c>
      <c r="J51" s="5">
        <f t="shared" si="0"/>
        <v>12</v>
      </c>
      <c r="K51" s="2">
        <f t="shared" si="1"/>
        <v>416.40216666666669</v>
      </c>
    </row>
    <row r="52" spans="1:11" x14ac:dyDescent="0.3">
      <c r="A52" s="1">
        <v>1980</v>
      </c>
      <c r="B52" s="1">
        <v>5</v>
      </c>
      <c r="C52" s="1">
        <v>15</v>
      </c>
      <c r="D52" s="6">
        <v>1980.3688999999999</v>
      </c>
      <c r="E52" s="3">
        <v>336.185</v>
      </c>
      <c r="F52" s="3">
        <v>0.20100000000000001</v>
      </c>
      <c r="G52" s="3">
        <v>0.96697999999999995</v>
      </c>
      <c r="H52" s="1" t="s">
        <v>9</v>
      </c>
      <c r="I52" s="1">
        <v>2024</v>
      </c>
      <c r="J52" s="5">
        <f t="shared" ref="J52" si="2">COUNTIFS($A:$A,$I52,E:E,"&gt;0")</f>
        <v>7</v>
      </c>
      <c r="K52" s="2">
        <f t="shared" ref="K52" si="3">IFERROR((AVERAGEIFS(E:E,$A:$A,$I52)),"")</f>
        <v>419.11428571428576</v>
      </c>
    </row>
    <row r="53" spans="1:11" x14ac:dyDescent="0.3">
      <c r="A53" s="1">
        <v>1980</v>
      </c>
      <c r="B53" s="1">
        <v>6</v>
      </c>
      <c r="C53" s="1">
        <v>15</v>
      </c>
      <c r="D53" s="6">
        <v>1980.4536000000001</v>
      </c>
      <c r="E53" s="3">
        <v>336.53199999999998</v>
      </c>
      <c r="F53" s="3">
        <v>0.22900000000000001</v>
      </c>
      <c r="G53" s="3">
        <v>1.1829799999999999</v>
      </c>
      <c r="H53" s="1" t="s">
        <v>9</v>
      </c>
    </row>
    <row r="54" spans="1:11" x14ac:dyDescent="0.3">
      <c r="A54" s="1">
        <v>1980</v>
      </c>
      <c r="B54" s="1">
        <v>7</v>
      </c>
      <c r="C54" s="1">
        <v>15</v>
      </c>
      <c r="D54" s="6">
        <v>1980.5355</v>
      </c>
      <c r="E54" s="3">
        <v>336.93</v>
      </c>
      <c r="F54" s="3">
        <v>0.222</v>
      </c>
      <c r="G54" s="3">
        <v>1.4109799999999999</v>
      </c>
      <c r="H54" s="1" t="s">
        <v>9</v>
      </c>
    </row>
    <row r="55" spans="1:11" x14ac:dyDescent="0.3">
      <c r="A55" s="1">
        <v>1980</v>
      </c>
      <c r="B55" s="1">
        <v>8</v>
      </c>
      <c r="C55" s="1">
        <v>15</v>
      </c>
      <c r="D55" s="6">
        <v>1980.6202000000001</v>
      </c>
      <c r="E55" s="3">
        <v>337.096</v>
      </c>
      <c r="F55" s="3">
        <v>0.17</v>
      </c>
      <c r="G55" s="3">
        <v>1.452</v>
      </c>
      <c r="H55" s="1" t="s">
        <v>9</v>
      </c>
    </row>
    <row r="56" spans="1:11" x14ac:dyDescent="0.3">
      <c r="A56" s="1">
        <v>1980</v>
      </c>
      <c r="B56" s="1">
        <v>9</v>
      </c>
      <c r="C56" s="1">
        <v>15</v>
      </c>
      <c r="D56" s="6">
        <v>1980.7049</v>
      </c>
      <c r="E56" s="3">
        <v>337.19</v>
      </c>
      <c r="F56" s="3">
        <v>0.215</v>
      </c>
      <c r="G56" s="3">
        <v>1.3280000000000001</v>
      </c>
      <c r="H56" s="1" t="s">
        <v>9</v>
      </c>
    </row>
    <row r="57" spans="1:11" x14ac:dyDescent="0.3">
      <c r="A57" s="1">
        <v>1980</v>
      </c>
      <c r="B57" s="1">
        <v>10</v>
      </c>
      <c r="C57" s="1">
        <v>15</v>
      </c>
      <c r="D57" s="6">
        <v>1980.7869000000001</v>
      </c>
      <c r="E57" s="3">
        <v>337.11599999999999</v>
      </c>
      <c r="F57" s="3">
        <v>0.20100000000000001</v>
      </c>
      <c r="G57" s="3">
        <v>1.117</v>
      </c>
      <c r="H57" s="1" t="s">
        <v>9</v>
      </c>
    </row>
    <row r="58" spans="1:11" x14ac:dyDescent="0.3">
      <c r="A58" s="1">
        <v>1980</v>
      </c>
      <c r="B58" s="1">
        <v>11</v>
      </c>
      <c r="C58" s="1">
        <v>15</v>
      </c>
      <c r="D58" s="6">
        <v>1980.8715999999999</v>
      </c>
      <c r="E58" s="3">
        <v>336.93799999999999</v>
      </c>
      <c r="F58" s="3">
        <v>0.23699999999999999</v>
      </c>
      <c r="G58" s="3">
        <v>1.1610100000000001</v>
      </c>
      <c r="H58" s="1" t="s">
        <v>9</v>
      </c>
    </row>
    <row r="59" spans="1:11" x14ac:dyDescent="0.3">
      <c r="A59" s="1">
        <v>1980</v>
      </c>
      <c r="B59" s="1">
        <v>12</v>
      </c>
      <c r="C59" s="1">
        <v>15</v>
      </c>
      <c r="D59" s="6">
        <v>1980.9536000000001</v>
      </c>
      <c r="E59" s="3">
        <v>336.916</v>
      </c>
      <c r="F59" s="3">
        <v>0.23200000000000001</v>
      </c>
      <c r="G59" s="3">
        <v>1.0549900000000001</v>
      </c>
      <c r="H59" s="1" t="s">
        <v>9</v>
      </c>
    </row>
    <row r="60" spans="1:11" x14ac:dyDescent="0.3">
      <c r="A60" s="1">
        <v>1981</v>
      </c>
      <c r="B60" s="1">
        <v>1</v>
      </c>
      <c r="C60" s="1">
        <v>15</v>
      </c>
      <c r="D60" s="6">
        <v>1981.0383999999999</v>
      </c>
      <c r="E60" s="3">
        <v>337.089</v>
      </c>
      <c r="F60" s="3">
        <v>0.183</v>
      </c>
      <c r="G60" s="3">
        <v>0.90200800000000003</v>
      </c>
      <c r="H60" s="1" t="s">
        <v>9</v>
      </c>
    </row>
    <row r="61" spans="1:11" x14ac:dyDescent="0.3">
      <c r="A61" s="1">
        <v>1981</v>
      </c>
      <c r="B61" s="1">
        <v>2</v>
      </c>
      <c r="C61" s="1">
        <v>15</v>
      </c>
      <c r="D61" s="6">
        <v>1981.1233</v>
      </c>
      <c r="E61" s="3">
        <v>337.23</v>
      </c>
      <c r="F61" s="3">
        <v>0.22700000000000001</v>
      </c>
      <c r="G61" s="3">
        <v>0.99697899999999995</v>
      </c>
      <c r="H61" s="1" t="s">
        <v>9</v>
      </c>
    </row>
    <row r="62" spans="1:11" x14ac:dyDescent="0.3">
      <c r="A62" s="1">
        <v>1981</v>
      </c>
      <c r="B62" s="1">
        <v>3</v>
      </c>
      <c r="C62" s="1">
        <v>15</v>
      </c>
      <c r="D62" s="6">
        <v>1981.2</v>
      </c>
      <c r="E62" s="3">
        <v>337.226</v>
      </c>
      <c r="F62" s="3">
        <v>0.128</v>
      </c>
      <c r="G62" s="3">
        <v>0.97500600000000004</v>
      </c>
      <c r="H62" s="1" t="s">
        <v>9</v>
      </c>
    </row>
    <row r="63" spans="1:11" x14ac:dyDescent="0.3">
      <c r="A63" s="1">
        <v>1981</v>
      </c>
      <c r="B63" s="1">
        <v>4</v>
      </c>
      <c r="C63" s="1">
        <v>15</v>
      </c>
      <c r="D63" s="6">
        <v>1981.2849000000001</v>
      </c>
      <c r="E63" s="3">
        <v>337.17399999999998</v>
      </c>
      <c r="F63" s="3">
        <v>0.17</v>
      </c>
      <c r="G63" s="3">
        <v>0.95599400000000001</v>
      </c>
      <c r="H63" s="1" t="s">
        <v>9</v>
      </c>
    </row>
    <row r="64" spans="1:11" x14ac:dyDescent="0.3">
      <c r="A64" s="1">
        <v>1981</v>
      </c>
      <c r="B64" s="1">
        <v>5</v>
      </c>
      <c r="C64" s="1">
        <v>15</v>
      </c>
      <c r="D64" s="6">
        <v>1981.3670999999999</v>
      </c>
      <c r="E64" s="3">
        <v>337.346</v>
      </c>
      <c r="F64" s="3">
        <v>0.17799999999999999</v>
      </c>
      <c r="G64" s="3">
        <v>1.0620099999999999</v>
      </c>
      <c r="H64" s="1" t="s">
        <v>9</v>
      </c>
    </row>
    <row r="65" spans="1:8" x14ac:dyDescent="0.3">
      <c r="A65" s="1">
        <v>1981</v>
      </c>
      <c r="B65" s="1">
        <v>6</v>
      </c>
      <c r="C65" s="1">
        <v>15</v>
      </c>
      <c r="D65" s="6">
        <v>1981.4521</v>
      </c>
      <c r="E65" s="3">
        <v>337.58699999999999</v>
      </c>
      <c r="F65" s="3">
        <v>0.17</v>
      </c>
      <c r="G65" s="3">
        <v>0.85202</v>
      </c>
      <c r="H65" s="1" t="s">
        <v>9</v>
      </c>
    </row>
    <row r="66" spans="1:8" x14ac:dyDescent="0.3">
      <c r="A66" s="1">
        <v>1981</v>
      </c>
      <c r="B66" s="1">
        <v>7</v>
      </c>
      <c r="C66" s="1">
        <v>15</v>
      </c>
      <c r="D66" s="6">
        <v>1981.5342000000001</v>
      </c>
      <c r="E66" s="3">
        <v>337.83199999999999</v>
      </c>
      <c r="F66" s="3">
        <v>8.5999999999999993E-2</v>
      </c>
      <c r="G66" s="3">
        <v>0.21701000000000001</v>
      </c>
      <c r="H66" s="1" t="s">
        <v>9</v>
      </c>
    </row>
    <row r="67" spans="1:8" x14ac:dyDescent="0.3">
      <c r="A67" s="1">
        <v>1981</v>
      </c>
      <c r="B67" s="1">
        <v>8</v>
      </c>
      <c r="C67" s="1">
        <v>15</v>
      </c>
      <c r="D67" s="6">
        <v>1981.6192000000001</v>
      </c>
      <c r="E67" s="3">
        <v>338.09300000000002</v>
      </c>
      <c r="F67" s="3">
        <v>0.20399999999999999</v>
      </c>
      <c r="G67" s="3">
        <v>-0.10299700000000001</v>
      </c>
      <c r="H67" s="1" t="s">
        <v>9</v>
      </c>
    </row>
    <row r="68" spans="1:8" x14ac:dyDescent="0.3">
      <c r="A68" s="1">
        <v>1981</v>
      </c>
      <c r="B68" s="1">
        <v>9</v>
      </c>
      <c r="C68" s="1">
        <v>15</v>
      </c>
      <c r="D68" s="6">
        <v>1981.7040999999999</v>
      </c>
      <c r="E68" s="3">
        <v>338.16500000000002</v>
      </c>
      <c r="F68" s="3">
        <v>0.21</v>
      </c>
      <c r="G68" s="3">
        <v>4.7973599999999998E-2</v>
      </c>
      <c r="H68" s="1" t="s">
        <v>9</v>
      </c>
    </row>
    <row r="69" spans="1:8" x14ac:dyDescent="0.3">
      <c r="A69" s="1">
        <v>1981</v>
      </c>
      <c r="B69" s="1">
        <v>10</v>
      </c>
      <c r="C69" s="1">
        <v>15</v>
      </c>
      <c r="D69" s="6">
        <v>1981.7863</v>
      </c>
      <c r="E69" s="3">
        <v>338.072</v>
      </c>
      <c r="F69" s="3">
        <v>0.22900000000000001</v>
      </c>
      <c r="G69" s="3">
        <v>0.52398699999999998</v>
      </c>
      <c r="H69" s="1" t="s">
        <v>9</v>
      </c>
    </row>
    <row r="70" spans="1:8" x14ac:dyDescent="0.3">
      <c r="A70" s="1">
        <v>1981</v>
      </c>
      <c r="B70" s="1">
        <v>11</v>
      </c>
      <c r="C70" s="1">
        <v>15</v>
      </c>
      <c r="D70" s="6">
        <v>1981.8712</v>
      </c>
      <c r="E70" s="3">
        <v>338</v>
      </c>
      <c r="F70" s="3">
        <v>0.23499999999999999</v>
      </c>
      <c r="G70" s="3">
        <v>0.68600499999999998</v>
      </c>
      <c r="H70" s="1" t="s">
        <v>9</v>
      </c>
    </row>
    <row r="71" spans="1:8" x14ac:dyDescent="0.3">
      <c r="A71" s="1">
        <v>1981</v>
      </c>
      <c r="B71" s="1">
        <v>12</v>
      </c>
      <c r="C71" s="1">
        <v>15</v>
      </c>
      <c r="D71" s="6">
        <v>1981.9534000000001</v>
      </c>
      <c r="E71" s="3">
        <v>337.76799999999997</v>
      </c>
      <c r="F71" s="3">
        <v>0.127</v>
      </c>
      <c r="G71" s="3">
        <v>0.59899899999999995</v>
      </c>
      <c r="H71" s="1" t="s">
        <v>9</v>
      </c>
    </row>
    <row r="72" spans="1:8" x14ac:dyDescent="0.3">
      <c r="A72" s="1">
        <v>1982</v>
      </c>
      <c r="B72" s="1">
        <v>1</v>
      </c>
      <c r="C72" s="1">
        <v>15</v>
      </c>
      <c r="D72" s="6">
        <v>1982.0383999999999</v>
      </c>
      <c r="E72" s="3">
        <v>337.30599999999998</v>
      </c>
      <c r="F72" s="3">
        <v>0.193</v>
      </c>
      <c r="G72" s="3">
        <v>0.71899400000000002</v>
      </c>
      <c r="H72" s="1" t="s">
        <v>9</v>
      </c>
    </row>
    <row r="73" spans="1:8" x14ac:dyDescent="0.3">
      <c r="A73" s="1">
        <v>1982</v>
      </c>
      <c r="B73" s="1">
        <v>2</v>
      </c>
      <c r="C73" s="1">
        <v>15</v>
      </c>
      <c r="D73" s="6">
        <v>1982.1233</v>
      </c>
      <c r="E73" s="3">
        <v>337.12700000000001</v>
      </c>
      <c r="F73" s="3">
        <v>0.17899999999999999</v>
      </c>
      <c r="G73" s="3">
        <v>0.80502300000000004</v>
      </c>
      <c r="H73" s="1" t="s">
        <v>9</v>
      </c>
    </row>
    <row r="74" spans="1:8" x14ac:dyDescent="0.3">
      <c r="A74" s="1">
        <v>1982</v>
      </c>
      <c r="B74" s="1">
        <v>3</v>
      </c>
      <c r="C74" s="1">
        <v>15</v>
      </c>
      <c r="D74" s="6">
        <v>1982.2</v>
      </c>
      <c r="E74" s="3">
        <v>337.274</v>
      </c>
      <c r="F74" s="3">
        <v>0.28999999999999998</v>
      </c>
      <c r="G74" s="3">
        <v>0.65698199999999995</v>
      </c>
      <c r="H74" s="1" t="s">
        <v>9</v>
      </c>
    </row>
    <row r="75" spans="1:8" x14ac:dyDescent="0.3">
      <c r="A75" s="1">
        <v>1982</v>
      </c>
      <c r="B75" s="1">
        <v>4</v>
      </c>
      <c r="C75" s="1">
        <v>15</v>
      </c>
      <c r="D75" s="6">
        <v>1982.2849000000001</v>
      </c>
      <c r="E75" s="3">
        <v>337.69799999999998</v>
      </c>
      <c r="F75" s="3">
        <v>0.24099999999999999</v>
      </c>
      <c r="G75" s="3">
        <v>0.56201199999999996</v>
      </c>
      <c r="H75" s="1" t="s">
        <v>9</v>
      </c>
    </row>
    <row r="76" spans="1:8" x14ac:dyDescent="0.3">
      <c r="A76" s="1">
        <v>1982</v>
      </c>
      <c r="B76" s="1">
        <v>5</v>
      </c>
      <c r="C76" s="1">
        <v>15</v>
      </c>
      <c r="D76" s="6">
        <v>1982.3670999999999</v>
      </c>
      <c r="E76" s="3">
        <v>338.03199999999998</v>
      </c>
      <c r="F76" s="3">
        <v>0.187</v>
      </c>
      <c r="G76" s="3">
        <v>0.55700700000000003</v>
      </c>
      <c r="H76" s="1" t="s">
        <v>9</v>
      </c>
    </row>
    <row r="77" spans="1:8" x14ac:dyDescent="0.3">
      <c r="A77" s="1">
        <v>1982</v>
      </c>
      <c r="B77" s="1">
        <v>6</v>
      </c>
      <c r="C77" s="1">
        <v>15</v>
      </c>
      <c r="D77" s="6">
        <v>1982.4521</v>
      </c>
      <c r="E77" s="3">
        <v>338.18599999999998</v>
      </c>
      <c r="F77" s="3">
        <v>0.153</v>
      </c>
      <c r="G77" s="3">
        <v>0.559998</v>
      </c>
      <c r="H77" s="1" t="s">
        <v>9</v>
      </c>
    </row>
    <row r="78" spans="1:8" x14ac:dyDescent="0.3">
      <c r="A78" s="1">
        <v>1982</v>
      </c>
      <c r="B78" s="1">
        <v>7</v>
      </c>
      <c r="C78" s="1">
        <v>15</v>
      </c>
      <c r="D78" s="6">
        <v>1982.5342000000001</v>
      </c>
      <c r="E78" s="3">
        <v>338.55099999999999</v>
      </c>
      <c r="F78" s="3">
        <v>0.186</v>
      </c>
      <c r="G78" s="3">
        <v>1.00101</v>
      </c>
      <c r="H78" s="1" t="s">
        <v>9</v>
      </c>
    </row>
    <row r="79" spans="1:8" x14ac:dyDescent="0.3">
      <c r="A79" s="1">
        <v>1982</v>
      </c>
      <c r="B79" s="1">
        <v>8</v>
      </c>
      <c r="C79" s="1">
        <v>15</v>
      </c>
      <c r="D79" s="6">
        <v>1982.6192000000001</v>
      </c>
      <c r="E79" s="3">
        <v>338.89800000000002</v>
      </c>
      <c r="F79" s="3">
        <v>0.153</v>
      </c>
      <c r="G79" s="3">
        <v>1.29999</v>
      </c>
      <c r="H79" s="1" t="s">
        <v>9</v>
      </c>
    </row>
    <row r="80" spans="1:8" x14ac:dyDescent="0.3">
      <c r="A80" s="1">
        <v>1982</v>
      </c>
      <c r="B80" s="1">
        <v>9</v>
      </c>
      <c r="C80" s="1">
        <v>15</v>
      </c>
      <c r="D80" s="6">
        <v>1982.7040999999999</v>
      </c>
      <c r="E80" s="3">
        <v>338.822</v>
      </c>
      <c r="F80" s="3">
        <v>0.21299999999999999</v>
      </c>
      <c r="G80" s="3">
        <v>1.2450300000000001</v>
      </c>
      <c r="H80" s="1" t="s">
        <v>9</v>
      </c>
    </row>
    <row r="81" spans="1:8" x14ac:dyDescent="0.3">
      <c r="A81" s="1">
        <v>1982</v>
      </c>
      <c r="B81" s="1">
        <v>10</v>
      </c>
      <c r="C81" s="1">
        <v>15</v>
      </c>
      <c r="D81" s="6">
        <v>1982.7863</v>
      </c>
      <c r="E81" s="3">
        <v>338.63400000000001</v>
      </c>
      <c r="F81" s="3">
        <v>0.19500000000000001</v>
      </c>
      <c r="G81" s="3">
        <v>1.41699</v>
      </c>
      <c r="H81" s="1" t="s">
        <v>9</v>
      </c>
    </row>
    <row r="82" spans="1:8" x14ac:dyDescent="0.3">
      <c r="A82" s="1">
        <v>1982</v>
      </c>
      <c r="B82" s="1">
        <v>11</v>
      </c>
      <c r="C82" s="1">
        <v>15</v>
      </c>
      <c r="D82" s="6">
        <v>1982.8712</v>
      </c>
      <c r="E82" s="3">
        <v>338.55700000000002</v>
      </c>
      <c r="F82" s="3">
        <v>0.16300000000000001</v>
      </c>
      <c r="G82" s="3">
        <v>1.5</v>
      </c>
      <c r="H82" s="1" t="s">
        <v>9</v>
      </c>
    </row>
    <row r="83" spans="1:8" x14ac:dyDescent="0.3">
      <c r="A83" s="1">
        <v>1982</v>
      </c>
      <c r="B83" s="1">
        <v>12</v>
      </c>
      <c r="C83" s="1">
        <v>15</v>
      </c>
      <c r="D83" s="6">
        <v>1982.9534000000001</v>
      </c>
      <c r="E83" s="3">
        <v>338.32799999999997</v>
      </c>
      <c r="F83" s="3">
        <v>0.17100000000000001</v>
      </c>
      <c r="G83" s="3">
        <v>1.4150100000000001</v>
      </c>
      <c r="H83" s="1" t="s">
        <v>9</v>
      </c>
    </row>
    <row r="84" spans="1:8" x14ac:dyDescent="0.3">
      <c r="A84" s="1">
        <v>1983</v>
      </c>
      <c r="B84" s="1">
        <v>1</v>
      </c>
      <c r="C84" s="1">
        <v>15</v>
      </c>
      <c r="D84" s="6">
        <v>1983.0383999999999</v>
      </c>
      <c r="E84" s="3">
        <v>338.30700000000002</v>
      </c>
      <c r="F84" s="3">
        <v>0.17</v>
      </c>
      <c r="G84" s="3">
        <v>1.7870200000000001</v>
      </c>
      <c r="H84" s="1" t="s">
        <v>9</v>
      </c>
    </row>
    <row r="85" spans="1:8" x14ac:dyDescent="0.3">
      <c r="A85" s="1">
        <v>1983</v>
      </c>
      <c r="B85" s="1">
        <v>2</v>
      </c>
      <c r="C85" s="1">
        <v>15</v>
      </c>
      <c r="D85" s="6">
        <v>1983.1233</v>
      </c>
      <c r="E85" s="3">
        <v>338.42700000000002</v>
      </c>
      <c r="F85" s="3">
        <v>0.184</v>
      </c>
      <c r="G85" s="3">
        <v>2.306</v>
      </c>
      <c r="H85" s="1" t="s">
        <v>9</v>
      </c>
    </row>
    <row r="86" spans="1:8" x14ac:dyDescent="0.3">
      <c r="A86" s="1">
        <v>1983</v>
      </c>
      <c r="B86" s="1">
        <v>3</v>
      </c>
      <c r="C86" s="1">
        <v>15</v>
      </c>
      <c r="D86" s="6">
        <v>1983.2</v>
      </c>
      <c r="E86" s="3">
        <v>338.51900000000001</v>
      </c>
      <c r="F86" s="3">
        <v>0.186</v>
      </c>
      <c r="G86" s="3">
        <v>2.5320100000000001</v>
      </c>
      <c r="H86" s="1" t="s">
        <v>9</v>
      </c>
    </row>
    <row r="87" spans="1:8" x14ac:dyDescent="0.3">
      <c r="A87" s="1">
        <v>1983</v>
      </c>
      <c r="B87" s="1">
        <v>4</v>
      </c>
      <c r="C87" s="1">
        <v>15</v>
      </c>
      <c r="D87" s="6">
        <v>1983.2849000000001</v>
      </c>
      <c r="E87" s="3">
        <v>339.11500000000001</v>
      </c>
      <c r="F87" s="3">
        <v>0.24099999999999999</v>
      </c>
      <c r="G87" s="3">
        <v>2.6229900000000002</v>
      </c>
      <c r="H87" s="1" t="s">
        <v>9</v>
      </c>
    </row>
    <row r="88" spans="1:8" x14ac:dyDescent="0.3">
      <c r="A88" s="1">
        <v>1983</v>
      </c>
      <c r="B88" s="1">
        <v>5</v>
      </c>
      <c r="C88" s="1">
        <v>15</v>
      </c>
      <c r="D88" s="6">
        <v>1983.3670999999999</v>
      </c>
      <c r="E88" s="3">
        <v>339.53199999999998</v>
      </c>
      <c r="F88" s="3">
        <v>0.14099999999999999</v>
      </c>
      <c r="G88" s="3">
        <v>2.7389800000000002</v>
      </c>
      <c r="H88" s="1" t="s">
        <v>9</v>
      </c>
    </row>
    <row r="89" spans="1:8" x14ac:dyDescent="0.3">
      <c r="A89" s="1">
        <v>1983</v>
      </c>
      <c r="B89" s="1">
        <v>6</v>
      </c>
      <c r="C89" s="1">
        <v>15</v>
      </c>
      <c r="D89" s="6">
        <v>1983.4521</v>
      </c>
      <c r="E89" s="3">
        <v>339.601</v>
      </c>
      <c r="F89" s="3">
        <v>0.156</v>
      </c>
      <c r="G89" s="3">
        <v>2.9790000000000001</v>
      </c>
      <c r="H89" s="1" t="s">
        <v>9</v>
      </c>
    </row>
    <row r="90" spans="1:8" x14ac:dyDescent="0.3">
      <c r="A90" s="1">
        <v>1983</v>
      </c>
      <c r="B90" s="1">
        <v>7</v>
      </c>
      <c r="C90" s="1">
        <v>15</v>
      </c>
      <c r="D90" s="6">
        <v>1983.5342000000001</v>
      </c>
      <c r="E90" s="3">
        <v>340.33800000000002</v>
      </c>
      <c r="F90" s="3">
        <v>0.44600000000000001</v>
      </c>
      <c r="G90" s="3">
        <v>2.9660000000000002</v>
      </c>
      <c r="H90" s="1" t="s">
        <v>9</v>
      </c>
    </row>
    <row r="91" spans="1:8" x14ac:dyDescent="0.3">
      <c r="A91" s="1">
        <v>1983</v>
      </c>
      <c r="B91" s="1">
        <v>8</v>
      </c>
      <c r="C91" s="1">
        <v>15</v>
      </c>
      <c r="D91" s="6">
        <v>1983.6192000000001</v>
      </c>
      <c r="E91" s="3">
        <v>341.20400000000001</v>
      </c>
      <c r="F91" s="3">
        <v>0.23699999999999999</v>
      </c>
      <c r="G91" s="3">
        <v>2.8439899999999998</v>
      </c>
      <c r="H91" s="1" t="s">
        <v>9</v>
      </c>
    </row>
    <row r="92" spans="1:8" x14ac:dyDescent="0.3">
      <c r="A92" s="1">
        <v>1983</v>
      </c>
      <c r="B92" s="1">
        <v>9</v>
      </c>
      <c r="C92" s="1">
        <v>15</v>
      </c>
      <c r="D92" s="6">
        <v>1983.7040999999999</v>
      </c>
      <c r="E92" s="3">
        <v>341.35399999999998</v>
      </c>
      <c r="F92" s="3">
        <v>0.16300000000000001</v>
      </c>
      <c r="G92" s="3">
        <v>2.7229899999999998</v>
      </c>
      <c r="H92" s="1" t="s">
        <v>9</v>
      </c>
    </row>
    <row r="93" spans="1:8" x14ac:dyDescent="0.3">
      <c r="A93" s="1">
        <v>1983</v>
      </c>
      <c r="B93" s="1">
        <v>10</v>
      </c>
      <c r="C93" s="1">
        <v>15</v>
      </c>
      <c r="D93" s="6">
        <v>1983.7863</v>
      </c>
      <c r="E93" s="3">
        <v>341.25700000000001</v>
      </c>
      <c r="F93" s="3">
        <v>0.18</v>
      </c>
      <c r="G93" s="3">
        <v>2.117</v>
      </c>
      <c r="H93" s="1" t="s">
        <v>9</v>
      </c>
    </row>
    <row r="94" spans="1:8" x14ac:dyDescent="0.3">
      <c r="A94" s="1">
        <v>1983</v>
      </c>
      <c r="B94" s="1">
        <v>11</v>
      </c>
      <c r="C94" s="1">
        <v>15</v>
      </c>
      <c r="D94" s="6">
        <v>1983.8712</v>
      </c>
      <c r="E94" s="3">
        <v>341.29599999999999</v>
      </c>
      <c r="F94" s="3">
        <v>0.155</v>
      </c>
      <c r="G94" s="3">
        <v>1.8580000000000001</v>
      </c>
      <c r="H94" s="1" t="s">
        <v>9</v>
      </c>
    </row>
    <row r="95" spans="1:8" x14ac:dyDescent="0.3">
      <c r="A95" s="1">
        <v>1983</v>
      </c>
      <c r="B95" s="1">
        <v>12</v>
      </c>
      <c r="C95" s="1">
        <v>15</v>
      </c>
      <c r="D95" s="6">
        <v>1983.9534000000001</v>
      </c>
      <c r="E95" s="3">
        <v>341.30700000000002</v>
      </c>
      <c r="F95" s="3">
        <v>0.111</v>
      </c>
      <c r="G95" s="3">
        <v>2.01898</v>
      </c>
      <c r="H95" s="1" t="s">
        <v>9</v>
      </c>
    </row>
    <row r="96" spans="1:8" x14ac:dyDescent="0.3">
      <c r="A96" s="1">
        <v>1984</v>
      </c>
      <c r="B96" s="1">
        <v>1</v>
      </c>
      <c r="C96" s="1">
        <v>15</v>
      </c>
      <c r="D96" s="6">
        <v>1984.0382999999999</v>
      </c>
      <c r="E96" s="3">
        <v>341.27300000000002</v>
      </c>
      <c r="F96" s="3">
        <v>0.11</v>
      </c>
      <c r="G96" s="3">
        <v>1.5969800000000001</v>
      </c>
      <c r="H96" s="1" t="s">
        <v>9</v>
      </c>
    </row>
    <row r="97" spans="1:8" x14ac:dyDescent="0.3">
      <c r="A97" s="1">
        <v>1984</v>
      </c>
      <c r="B97" s="1">
        <v>2</v>
      </c>
      <c r="C97" s="1">
        <v>15</v>
      </c>
      <c r="D97" s="6">
        <v>1984.123</v>
      </c>
      <c r="E97" s="3">
        <v>341.27100000000002</v>
      </c>
      <c r="F97" s="3">
        <v>0.122</v>
      </c>
      <c r="G97" s="3">
        <v>1.155</v>
      </c>
      <c r="H97" s="1" t="s">
        <v>9</v>
      </c>
    </row>
    <row r="98" spans="1:8" x14ac:dyDescent="0.3">
      <c r="A98" s="1">
        <v>1984</v>
      </c>
      <c r="B98" s="1">
        <v>3</v>
      </c>
      <c r="C98" s="1">
        <v>15</v>
      </c>
      <c r="D98" s="6">
        <v>1984.2021999999999</v>
      </c>
      <c r="E98" s="3">
        <v>341.24200000000002</v>
      </c>
      <c r="F98" s="3">
        <v>0.114</v>
      </c>
      <c r="G98" s="3">
        <v>1.1539900000000001</v>
      </c>
      <c r="H98" s="1" t="s">
        <v>9</v>
      </c>
    </row>
    <row r="99" spans="1:8" x14ac:dyDescent="0.3">
      <c r="A99" s="1">
        <v>1984</v>
      </c>
      <c r="B99" s="1">
        <v>4</v>
      </c>
      <c r="C99" s="1">
        <v>15</v>
      </c>
      <c r="D99" s="6">
        <v>1984.2869000000001</v>
      </c>
      <c r="E99" s="3">
        <v>341.23200000000003</v>
      </c>
      <c r="F99" s="3">
        <v>0.13800000000000001</v>
      </c>
      <c r="G99" s="3">
        <v>1.2150000000000001</v>
      </c>
      <c r="H99" s="1" t="s">
        <v>9</v>
      </c>
    </row>
    <row r="100" spans="1:8" x14ac:dyDescent="0.3">
      <c r="A100" s="1">
        <v>1984</v>
      </c>
      <c r="B100" s="1">
        <v>5</v>
      </c>
      <c r="C100" s="1">
        <v>15</v>
      </c>
      <c r="D100" s="6">
        <v>1984.3688999999999</v>
      </c>
      <c r="E100" s="3">
        <v>341.39</v>
      </c>
      <c r="F100" s="3">
        <v>0.129</v>
      </c>
      <c r="G100" s="3">
        <v>1.1299999999999999</v>
      </c>
      <c r="H100" s="1" t="s">
        <v>9</v>
      </c>
    </row>
    <row r="101" spans="1:8" x14ac:dyDescent="0.3">
      <c r="A101" s="1">
        <v>1984</v>
      </c>
      <c r="B101" s="1">
        <v>6</v>
      </c>
      <c r="C101" s="1">
        <v>15</v>
      </c>
      <c r="D101" s="6">
        <v>1984.4536000000001</v>
      </c>
      <c r="E101" s="3">
        <v>341.62</v>
      </c>
      <c r="F101" s="3">
        <v>0.16300000000000001</v>
      </c>
      <c r="G101" s="3">
        <v>1.0349999999999999</v>
      </c>
      <c r="H101" s="1" t="s">
        <v>9</v>
      </c>
    </row>
    <row r="102" spans="1:8" x14ac:dyDescent="0.3">
      <c r="A102" s="1">
        <v>1984</v>
      </c>
      <c r="B102" s="1">
        <v>7</v>
      </c>
      <c r="C102" s="1">
        <v>15</v>
      </c>
      <c r="D102" s="6">
        <v>1984.5355</v>
      </c>
      <c r="E102" s="3">
        <v>341.935</v>
      </c>
      <c r="F102" s="3">
        <v>0.16600000000000001</v>
      </c>
      <c r="G102" s="3">
        <v>1.056</v>
      </c>
      <c r="H102" s="1" t="s">
        <v>9</v>
      </c>
    </row>
    <row r="103" spans="1:8" x14ac:dyDescent="0.3">
      <c r="A103" s="1">
        <v>1984</v>
      </c>
      <c r="B103" s="1">
        <v>8</v>
      </c>
      <c r="C103" s="1">
        <v>15</v>
      </c>
      <c r="D103" s="6">
        <v>1984.6202000000001</v>
      </c>
      <c r="E103" s="3">
        <v>342.35899999999998</v>
      </c>
      <c r="F103" s="3">
        <v>0.158</v>
      </c>
      <c r="G103" s="3">
        <v>1.0180100000000001</v>
      </c>
      <c r="H103" s="1" t="s">
        <v>9</v>
      </c>
    </row>
    <row r="104" spans="1:8" x14ac:dyDescent="0.3">
      <c r="A104" s="1">
        <v>1984</v>
      </c>
      <c r="B104" s="1">
        <v>9</v>
      </c>
      <c r="C104" s="1">
        <v>15</v>
      </c>
      <c r="D104" s="6">
        <v>1984.7049</v>
      </c>
      <c r="E104" s="3">
        <v>342.50799999999998</v>
      </c>
      <c r="F104" s="3">
        <v>0.14499999999999999</v>
      </c>
      <c r="G104" s="3">
        <v>1.077</v>
      </c>
      <c r="H104" s="1" t="s">
        <v>9</v>
      </c>
    </row>
    <row r="105" spans="1:8" x14ac:dyDescent="0.3">
      <c r="A105" s="1">
        <v>1984</v>
      </c>
      <c r="B105" s="1">
        <v>10</v>
      </c>
      <c r="C105" s="1">
        <v>15</v>
      </c>
      <c r="D105" s="6">
        <v>1984.7869000000001</v>
      </c>
      <c r="E105" s="3">
        <v>342.47199999999998</v>
      </c>
      <c r="F105" s="3">
        <v>0.17299999999999999</v>
      </c>
      <c r="G105" s="3">
        <v>1.2560100000000001</v>
      </c>
      <c r="H105" s="1" t="s">
        <v>9</v>
      </c>
    </row>
    <row r="106" spans="1:8" x14ac:dyDescent="0.3">
      <c r="A106" s="1">
        <v>1984</v>
      </c>
      <c r="B106" s="1">
        <v>11</v>
      </c>
      <c r="C106" s="1">
        <v>15</v>
      </c>
      <c r="D106" s="6">
        <v>1984.8715999999999</v>
      </c>
      <c r="E106" s="3">
        <v>342.42599999999999</v>
      </c>
      <c r="F106" s="3">
        <v>0.17100000000000001</v>
      </c>
      <c r="G106" s="3">
        <v>1.37799</v>
      </c>
      <c r="H106" s="1" t="s">
        <v>9</v>
      </c>
    </row>
    <row r="107" spans="1:8" x14ac:dyDescent="0.3">
      <c r="A107" s="1">
        <v>1984</v>
      </c>
      <c r="B107" s="1">
        <v>12</v>
      </c>
      <c r="C107" s="1">
        <v>15</v>
      </c>
      <c r="D107" s="6">
        <v>1984.9536000000001</v>
      </c>
      <c r="E107" s="3">
        <v>342.34199999999998</v>
      </c>
      <c r="F107" s="3">
        <v>0.154</v>
      </c>
      <c r="G107" s="3">
        <v>1.5389999999999999</v>
      </c>
      <c r="H107" s="1" t="s">
        <v>9</v>
      </c>
    </row>
    <row r="108" spans="1:8" x14ac:dyDescent="0.3">
      <c r="A108" s="1">
        <v>1985</v>
      </c>
      <c r="B108" s="1">
        <v>1</v>
      </c>
      <c r="C108" s="1">
        <v>15</v>
      </c>
      <c r="D108" s="6">
        <v>1985.0383999999999</v>
      </c>
      <c r="E108" s="3">
        <v>342.32900000000001</v>
      </c>
      <c r="F108" s="3">
        <v>0.14199999999999999</v>
      </c>
      <c r="G108" s="3">
        <v>1.7210099999999999</v>
      </c>
      <c r="H108" s="1" t="s">
        <v>9</v>
      </c>
    </row>
    <row r="109" spans="1:8" x14ac:dyDescent="0.3">
      <c r="A109" s="1">
        <v>1985</v>
      </c>
      <c r="B109" s="1">
        <v>2</v>
      </c>
      <c r="C109" s="1">
        <v>15</v>
      </c>
      <c r="D109" s="6">
        <v>1985.1233</v>
      </c>
      <c r="E109" s="3">
        <v>342.28899999999999</v>
      </c>
      <c r="F109" s="3">
        <v>0.10100000000000001</v>
      </c>
      <c r="G109" s="3">
        <v>1.7099899999999999</v>
      </c>
      <c r="H109" s="1" t="s">
        <v>9</v>
      </c>
    </row>
    <row r="110" spans="1:8" x14ac:dyDescent="0.3">
      <c r="A110" s="1">
        <v>1985</v>
      </c>
      <c r="B110" s="1">
        <v>3</v>
      </c>
      <c r="C110" s="1">
        <v>15</v>
      </c>
      <c r="D110" s="6">
        <v>1985.2</v>
      </c>
      <c r="E110" s="3">
        <v>342.31900000000002</v>
      </c>
      <c r="F110" s="3">
        <v>0.124</v>
      </c>
      <c r="G110" s="3">
        <v>1.6890000000000001</v>
      </c>
      <c r="H110" s="1" t="s">
        <v>9</v>
      </c>
    </row>
    <row r="111" spans="1:8" x14ac:dyDescent="0.3">
      <c r="A111" s="1">
        <v>1985</v>
      </c>
      <c r="B111" s="1">
        <v>4</v>
      </c>
      <c r="C111" s="1">
        <v>15</v>
      </c>
      <c r="D111" s="6">
        <v>1985.2849000000001</v>
      </c>
      <c r="E111" s="3">
        <v>342.488</v>
      </c>
      <c r="F111" s="3">
        <v>0.14499999999999999</v>
      </c>
      <c r="G111" s="3">
        <v>1.72302</v>
      </c>
      <c r="H111" s="1" t="s">
        <v>9</v>
      </c>
    </row>
    <row r="112" spans="1:8" x14ac:dyDescent="0.3">
      <c r="A112" s="1">
        <v>1985</v>
      </c>
      <c r="B112" s="1">
        <v>5</v>
      </c>
      <c r="C112" s="1">
        <v>15</v>
      </c>
      <c r="D112" s="6">
        <v>1985.3670999999999</v>
      </c>
      <c r="E112" s="3">
        <v>342.76799999999997</v>
      </c>
      <c r="F112" s="3">
        <v>0.153</v>
      </c>
      <c r="G112" s="3">
        <v>1.51901</v>
      </c>
      <c r="H112" s="1" t="s">
        <v>9</v>
      </c>
    </row>
    <row r="113" spans="1:8" x14ac:dyDescent="0.3">
      <c r="A113" s="1">
        <v>1985</v>
      </c>
      <c r="B113" s="1">
        <v>6</v>
      </c>
      <c r="C113" s="1">
        <v>15</v>
      </c>
      <c r="D113" s="6">
        <v>1985.4521</v>
      </c>
      <c r="E113" s="3">
        <v>343.15899999999999</v>
      </c>
      <c r="F113" s="3">
        <v>0.17699999999999999</v>
      </c>
      <c r="G113" s="3">
        <v>1.36798</v>
      </c>
      <c r="H113" s="1" t="s">
        <v>9</v>
      </c>
    </row>
    <row r="114" spans="1:8" x14ac:dyDescent="0.3">
      <c r="A114" s="1">
        <v>1985</v>
      </c>
      <c r="B114" s="1">
        <v>7</v>
      </c>
      <c r="C114" s="1">
        <v>15</v>
      </c>
      <c r="D114" s="6">
        <v>1985.5342000000001</v>
      </c>
      <c r="E114" s="3">
        <v>343.65600000000001</v>
      </c>
      <c r="F114" s="3">
        <v>0.19500000000000001</v>
      </c>
      <c r="G114" s="3">
        <v>1.3859900000000001</v>
      </c>
      <c r="H114" s="1" t="s">
        <v>9</v>
      </c>
    </row>
    <row r="115" spans="1:8" x14ac:dyDescent="0.3">
      <c r="A115" s="1">
        <v>1985</v>
      </c>
      <c r="B115" s="1">
        <v>8</v>
      </c>
      <c r="C115" s="1">
        <v>15</v>
      </c>
      <c r="D115" s="6">
        <v>1985.6192000000001</v>
      </c>
      <c r="E115" s="3">
        <v>344.06900000000002</v>
      </c>
      <c r="F115" s="3">
        <v>0.151</v>
      </c>
      <c r="G115" s="3">
        <v>1.452</v>
      </c>
      <c r="H115" s="1" t="s">
        <v>9</v>
      </c>
    </row>
    <row r="116" spans="1:8" x14ac:dyDescent="0.3">
      <c r="A116" s="1">
        <v>1985</v>
      </c>
      <c r="B116" s="1">
        <v>9</v>
      </c>
      <c r="C116" s="1">
        <v>15</v>
      </c>
      <c r="D116" s="6">
        <v>1985.7040999999999</v>
      </c>
      <c r="E116" s="3">
        <v>344.197</v>
      </c>
      <c r="F116" s="3">
        <v>0.14899999999999999</v>
      </c>
      <c r="G116" s="3">
        <v>1.44601</v>
      </c>
      <c r="H116" s="1" t="s">
        <v>9</v>
      </c>
    </row>
    <row r="117" spans="1:8" x14ac:dyDescent="0.3">
      <c r="A117" s="1">
        <v>1985</v>
      </c>
      <c r="B117" s="1">
        <v>10</v>
      </c>
      <c r="C117" s="1">
        <v>15</v>
      </c>
      <c r="D117" s="6">
        <v>1985.7863</v>
      </c>
      <c r="E117" s="3">
        <v>344.19499999999999</v>
      </c>
      <c r="F117" s="3">
        <v>0.184</v>
      </c>
      <c r="G117" s="3">
        <v>1.29599</v>
      </c>
      <c r="H117" s="1" t="s">
        <v>9</v>
      </c>
    </row>
    <row r="118" spans="1:8" x14ac:dyDescent="0.3">
      <c r="A118" s="1">
        <v>1985</v>
      </c>
      <c r="B118" s="1">
        <v>11</v>
      </c>
      <c r="C118" s="1">
        <v>15</v>
      </c>
      <c r="D118" s="6">
        <v>1985.8712</v>
      </c>
      <c r="E118" s="3">
        <v>343.94499999999999</v>
      </c>
      <c r="F118" s="3">
        <v>0.21099999999999999</v>
      </c>
      <c r="G118" s="3">
        <v>1.14899</v>
      </c>
      <c r="H118" s="1" t="s">
        <v>9</v>
      </c>
    </row>
    <row r="119" spans="1:8" x14ac:dyDescent="0.3">
      <c r="A119" s="1">
        <v>1985</v>
      </c>
      <c r="B119" s="1">
        <v>12</v>
      </c>
      <c r="C119" s="1">
        <v>15</v>
      </c>
      <c r="D119" s="6">
        <v>1985.9534000000001</v>
      </c>
      <c r="E119" s="3">
        <v>343.71</v>
      </c>
      <c r="F119" s="3">
        <v>0.17499999999999999</v>
      </c>
      <c r="G119" s="3">
        <v>1.077</v>
      </c>
      <c r="H119" s="1" t="s">
        <v>9</v>
      </c>
    </row>
    <row r="120" spans="1:8" x14ac:dyDescent="0.3">
      <c r="A120" s="1">
        <v>1986</v>
      </c>
      <c r="B120" s="1">
        <v>1</v>
      </c>
      <c r="C120" s="1">
        <v>15</v>
      </c>
      <c r="D120" s="6">
        <v>1986.0383999999999</v>
      </c>
      <c r="E120" s="3">
        <v>343.71499999999997</v>
      </c>
      <c r="F120" s="3">
        <v>0.157</v>
      </c>
      <c r="G120" s="3">
        <v>1.0289900000000001</v>
      </c>
      <c r="H120" s="1" t="s">
        <v>9</v>
      </c>
    </row>
    <row r="121" spans="1:8" x14ac:dyDescent="0.3">
      <c r="A121" s="1">
        <v>1986</v>
      </c>
      <c r="B121" s="1">
        <v>2</v>
      </c>
      <c r="C121" s="1">
        <v>15</v>
      </c>
      <c r="D121" s="6">
        <v>1986.1233</v>
      </c>
      <c r="E121" s="3">
        <v>343.74099999999999</v>
      </c>
      <c r="F121" s="3">
        <v>9.8000000000000004E-2</v>
      </c>
      <c r="G121" s="3">
        <v>0.98800699999999997</v>
      </c>
      <c r="H121" s="1" t="s">
        <v>9</v>
      </c>
    </row>
    <row r="122" spans="1:8" x14ac:dyDescent="0.3">
      <c r="A122" s="1">
        <v>1986</v>
      </c>
      <c r="B122" s="1">
        <v>3</v>
      </c>
      <c r="C122" s="1">
        <v>15</v>
      </c>
      <c r="D122" s="6">
        <v>1986.2</v>
      </c>
      <c r="E122" s="3">
        <v>343.76499999999999</v>
      </c>
      <c r="F122" s="3">
        <v>0.115</v>
      </c>
      <c r="G122" s="3">
        <v>1.0400100000000001</v>
      </c>
      <c r="H122" s="1" t="s">
        <v>9</v>
      </c>
    </row>
    <row r="123" spans="1:8" x14ac:dyDescent="0.3">
      <c r="A123" s="1">
        <v>1986</v>
      </c>
      <c r="B123" s="1">
        <v>4</v>
      </c>
      <c r="C123" s="1">
        <v>15</v>
      </c>
      <c r="D123" s="6">
        <v>1986.2849000000001</v>
      </c>
      <c r="E123" s="3">
        <v>343.78399999999999</v>
      </c>
      <c r="F123" s="3">
        <v>0.14299999999999999</v>
      </c>
      <c r="G123" s="3">
        <v>1.1120000000000001</v>
      </c>
      <c r="H123" s="1" t="s">
        <v>9</v>
      </c>
    </row>
    <row r="124" spans="1:8" x14ac:dyDescent="0.3">
      <c r="A124" s="1">
        <v>1986</v>
      </c>
      <c r="B124" s="1">
        <v>5</v>
      </c>
      <c r="C124" s="1">
        <v>15</v>
      </c>
      <c r="D124" s="6">
        <v>1986.3670999999999</v>
      </c>
      <c r="E124" s="3">
        <v>343.91699999999997</v>
      </c>
      <c r="F124" s="3">
        <v>0.16600000000000001</v>
      </c>
      <c r="G124" s="3">
        <v>1.2599800000000001</v>
      </c>
      <c r="H124" s="1" t="s">
        <v>9</v>
      </c>
    </row>
    <row r="125" spans="1:8" x14ac:dyDescent="0.3">
      <c r="A125" s="1">
        <v>1986</v>
      </c>
      <c r="B125" s="1">
        <v>6</v>
      </c>
      <c r="C125" s="1">
        <v>15</v>
      </c>
      <c r="D125" s="6">
        <v>1986.4521</v>
      </c>
      <c r="E125" s="3">
        <v>344.23599999999999</v>
      </c>
      <c r="F125" s="3">
        <v>0.188</v>
      </c>
      <c r="G125" s="3">
        <v>1.2450000000000001</v>
      </c>
      <c r="H125" s="1" t="s">
        <v>9</v>
      </c>
    </row>
    <row r="126" spans="1:8" x14ac:dyDescent="0.3">
      <c r="A126" s="1">
        <v>1986</v>
      </c>
      <c r="B126" s="1">
        <v>7</v>
      </c>
      <c r="C126" s="1">
        <v>15</v>
      </c>
      <c r="D126" s="6">
        <v>1986.5342000000001</v>
      </c>
      <c r="E126" s="3">
        <v>344.685</v>
      </c>
      <c r="F126" s="3">
        <v>0.19900000000000001</v>
      </c>
      <c r="G126" s="3">
        <v>1.0020100000000001</v>
      </c>
      <c r="H126" s="1" t="s">
        <v>9</v>
      </c>
    </row>
    <row r="127" spans="1:8" x14ac:dyDescent="0.3">
      <c r="A127" s="1">
        <v>1986</v>
      </c>
      <c r="B127" s="1">
        <v>8</v>
      </c>
      <c r="C127" s="1">
        <v>15</v>
      </c>
      <c r="D127" s="6">
        <v>1986.6192000000001</v>
      </c>
      <c r="E127" s="3">
        <v>345.05700000000002</v>
      </c>
      <c r="F127" s="3">
        <v>0.161</v>
      </c>
      <c r="G127" s="3">
        <v>0.96099900000000005</v>
      </c>
      <c r="H127" s="1" t="s">
        <v>9</v>
      </c>
    </row>
    <row r="128" spans="1:8" x14ac:dyDescent="0.3">
      <c r="A128" s="1">
        <v>1986</v>
      </c>
      <c r="B128" s="1">
        <v>9</v>
      </c>
      <c r="C128" s="1">
        <v>15</v>
      </c>
      <c r="D128" s="6">
        <v>1986.7040999999999</v>
      </c>
      <c r="E128" s="3">
        <v>345.23700000000002</v>
      </c>
      <c r="F128" s="3">
        <v>0.16</v>
      </c>
      <c r="G128" s="3">
        <v>1.0929899999999999</v>
      </c>
      <c r="H128" s="1" t="s">
        <v>9</v>
      </c>
    </row>
    <row r="129" spans="1:8" x14ac:dyDescent="0.3">
      <c r="A129" s="1">
        <v>1986</v>
      </c>
      <c r="B129" s="1">
        <v>10</v>
      </c>
      <c r="C129" s="1">
        <v>15</v>
      </c>
      <c r="D129" s="6">
        <v>1986.7863</v>
      </c>
      <c r="E129" s="3">
        <v>345.30700000000002</v>
      </c>
      <c r="F129" s="3">
        <v>0.125</v>
      </c>
      <c r="G129" s="3">
        <v>1.26901</v>
      </c>
      <c r="H129" s="1" t="s">
        <v>9</v>
      </c>
    </row>
    <row r="130" spans="1:8" x14ac:dyDescent="0.3">
      <c r="A130" s="1">
        <v>1986</v>
      </c>
      <c r="B130" s="1">
        <v>11</v>
      </c>
      <c r="C130" s="1">
        <v>15</v>
      </c>
      <c r="D130" s="6">
        <v>1986.8712</v>
      </c>
      <c r="E130" s="3">
        <v>345.20499999999998</v>
      </c>
      <c r="F130" s="3">
        <v>0.184</v>
      </c>
      <c r="G130" s="3">
        <v>1.5249900000000001</v>
      </c>
      <c r="H130" s="1" t="s">
        <v>9</v>
      </c>
    </row>
    <row r="131" spans="1:8" x14ac:dyDescent="0.3">
      <c r="A131" s="1">
        <v>1986</v>
      </c>
      <c r="B131" s="1">
        <v>12</v>
      </c>
      <c r="C131" s="1">
        <v>15</v>
      </c>
      <c r="D131" s="6">
        <v>1986.9534000000001</v>
      </c>
      <c r="E131" s="3">
        <v>344.95499999999998</v>
      </c>
      <c r="F131" s="3">
        <v>0.16700000000000001</v>
      </c>
      <c r="G131" s="3">
        <v>1.76901</v>
      </c>
      <c r="H131" s="1" t="s">
        <v>9</v>
      </c>
    </row>
    <row r="132" spans="1:8" x14ac:dyDescent="0.3">
      <c r="A132" s="1">
        <v>1987</v>
      </c>
      <c r="B132" s="1">
        <v>1</v>
      </c>
      <c r="C132" s="1">
        <v>15</v>
      </c>
      <c r="D132" s="6">
        <v>1987.0383999999999</v>
      </c>
      <c r="E132" s="3">
        <v>344.71699999999998</v>
      </c>
      <c r="F132" s="3">
        <v>0.151</v>
      </c>
      <c r="G132" s="3">
        <v>1.7869900000000001</v>
      </c>
      <c r="H132" s="1" t="s">
        <v>9</v>
      </c>
    </row>
    <row r="133" spans="1:8" x14ac:dyDescent="0.3">
      <c r="A133" s="1">
        <v>1987</v>
      </c>
      <c r="B133" s="1">
        <v>2</v>
      </c>
      <c r="C133" s="1">
        <v>15</v>
      </c>
      <c r="D133" s="6">
        <v>1987.1233</v>
      </c>
      <c r="E133" s="3">
        <v>344.702</v>
      </c>
      <c r="F133" s="3">
        <v>9.8000000000000004E-2</v>
      </c>
      <c r="G133" s="3">
        <v>1.9079900000000001</v>
      </c>
      <c r="H133" s="1" t="s">
        <v>9</v>
      </c>
    </row>
    <row r="134" spans="1:8" x14ac:dyDescent="0.3">
      <c r="A134" s="1">
        <v>1987</v>
      </c>
      <c r="B134" s="1">
        <v>3</v>
      </c>
      <c r="C134" s="1">
        <v>15</v>
      </c>
      <c r="D134" s="6">
        <v>1987.2</v>
      </c>
      <c r="E134" s="3">
        <v>344.858</v>
      </c>
      <c r="F134" s="3">
        <v>0.13300000000000001</v>
      </c>
      <c r="G134" s="3">
        <v>2.01999</v>
      </c>
      <c r="H134" s="1" t="s">
        <v>9</v>
      </c>
    </row>
    <row r="135" spans="1:8" x14ac:dyDescent="0.3">
      <c r="A135" s="1">
        <v>1987</v>
      </c>
      <c r="B135" s="1">
        <v>4</v>
      </c>
      <c r="C135" s="1">
        <v>15</v>
      </c>
      <c r="D135" s="6">
        <v>1987.2849000000001</v>
      </c>
      <c r="E135" s="3">
        <v>345.053</v>
      </c>
      <c r="F135" s="3">
        <v>0.13500000000000001</v>
      </c>
      <c r="G135" s="3">
        <v>1.996</v>
      </c>
      <c r="H135" s="1" t="s">
        <v>9</v>
      </c>
    </row>
    <row r="136" spans="1:8" x14ac:dyDescent="0.3">
      <c r="A136" s="1">
        <v>1987</v>
      </c>
      <c r="B136" s="1">
        <v>5</v>
      </c>
      <c r="C136" s="1">
        <v>15</v>
      </c>
      <c r="D136" s="6">
        <v>1987.3670999999999</v>
      </c>
      <c r="E136" s="3">
        <v>345.44200000000001</v>
      </c>
      <c r="F136" s="3">
        <v>0.188</v>
      </c>
      <c r="G136" s="3">
        <v>2.2010200000000002</v>
      </c>
      <c r="H136" s="1" t="s">
        <v>9</v>
      </c>
    </row>
    <row r="137" spans="1:8" x14ac:dyDescent="0.3">
      <c r="A137" s="1">
        <v>1987</v>
      </c>
      <c r="B137" s="1">
        <v>6</v>
      </c>
      <c r="C137" s="1">
        <v>15</v>
      </c>
      <c r="D137" s="6">
        <v>1987.4521</v>
      </c>
      <c r="E137" s="3">
        <v>346.005</v>
      </c>
      <c r="F137" s="3">
        <v>0.215</v>
      </c>
      <c r="G137" s="3">
        <v>2.4500099999999998</v>
      </c>
      <c r="H137" s="1" t="s">
        <v>9</v>
      </c>
    </row>
    <row r="138" spans="1:8" x14ac:dyDescent="0.3">
      <c r="A138" s="1">
        <v>1987</v>
      </c>
      <c r="B138" s="1">
        <v>7</v>
      </c>
      <c r="C138" s="1">
        <v>15</v>
      </c>
      <c r="D138" s="6">
        <v>1987.5342000000001</v>
      </c>
      <c r="E138" s="3">
        <v>346.47199999999998</v>
      </c>
      <c r="F138" s="3">
        <v>0.16400000000000001</v>
      </c>
      <c r="G138" s="3">
        <v>2.63998</v>
      </c>
      <c r="H138" s="1" t="s">
        <v>9</v>
      </c>
    </row>
    <row r="139" spans="1:8" x14ac:dyDescent="0.3">
      <c r="A139" s="1">
        <v>1987</v>
      </c>
      <c r="B139" s="1">
        <v>8</v>
      </c>
      <c r="C139" s="1">
        <v>15</v>
      </c>
      <c r="D139" s="6">
        <v>1987.6192000000001</v>
      </c>
      <c r="E139" s="3">
        <v>346.96499999999997</v>
      </c>
      <c r="F139" s="3">
        <v>0.21</v>
      </c>
      <c r="G139" s="3">
        <v>2.6660200000000001</v>
      </c>
      <c r="H139" s="1" t="s">
        <v>9</v>
      </c>
    </row>
    <row r="140" spans="1:8" x14ac:dyDescent="0.3">
      <c r="A140" s="1">
        <v>1987</v>
      </c>
      <c r="B140" s="1">
        <v>9</v>
      </c>
      <c r="C140" s="1">
        <v>15</v>
      </c>
      <c r="D140" s="6">
        <v>1987.7040999999999</v>
      </c>
      <c r="E140" s="3">
        <v>347.25700000000001</v>
      </c>
      <c r="F140" s="3">
        <v>0.17</v>
      </c>
      <c r="G140" s="3">
        <v>2.5700099999999999</v>
      </c>
      <c r="H140" s="1" t="s">
        <v>9</v>
      </c>
    </row>
    <row r="141" spans="1:8" x14ac:dyDescent="0.3">
      <c r="A141" s="1">
        <v>1987</v>
      </c>
      <c r="B141" s="1">
        <v>10</v>
      </c>
      <c r="C141" s="1">
        <v>15</v>
      </c>
      <c r="D141" s="6">
        <v>1987.7863</v>
      </c>
      <c r="E141" s="3">
        <v>347.303</v>
      </c>
      <c r="F141" s="3">
        <v>0.17499999999999999</v>
      </c>
      <c r="G141" s="3">
        <v>2.5539900000000002</v>
      </c>
      <c r="H141" s="1" t="s">
        <v>9</v>
      </c>
    </row>
    <row r="142" spans="1:8" x14ac:dyDescent="0.3">
      <c r="A142" s="1">
        <v>1987</v>
      </c>
      <c r="B142" s="1">
        <v>11</v>
      </c>
      <c r="C142" s="1">
        <v>15</v>
      </c>
      <c r="D142" s="6">
        <v>1987.8712</v>
      </c>
      <c r="E142" s="3">
        <v>347.40600000000001</v>
      </c>
      <c r="F142" s="3">
        <v>0.10100000000000001</v>
      </c>
      <c r="G142" s="3">
        <v>2.3700299999999999</v>
      </c>
      <c r="H142" s="1" t="s">
        <v>9</v>
      </c>
    </row>
    <row r="143" spans="1:8" x14ac:dyDescent="0.3">
      <c r="A143" s="1">
        <v>1987</v>
      </c>
      <c r="B143" s="1">
        <v>12</v>
      </c>
      <c r="C143" s="1">
        <v>15</v>
      </c>
      <c r="D143" s="6">
        <v>1987.9534000000001</v>
      </c>
      <c r="E143" s="3">
        <v>347.40499999999997</v>
      </c>
      <c r="F143" s="3">
        <v>0.13700000000000001</v>
      </c>
      <c r="G143" s="3">
        <v>2.24701</v>
      </c>
      <c r="H143" s="1" t="s">
        <v>9</v>
      </c>
    </row>
    <row r="144" spans="1:8" x14ac:dyDescent="0.3">
      <c r="A144" s="1">
        <v>1988</v>
      </c>
      <c r="B144" s="1">
        <v>1</v>
      </c>
      <c r="C144" s="1">
        <v>15</v>
      </c>
      <c r="D144" s="6">
        <v>1988.0382999999999</v>
      </c>
      <c r="E144" s="3">
        <v>347.35700000000003</v>
      </c>
      <c r="F144" s="3">
        <v>0.16</v>
      </c>
      <c r="G144" s="3">
        <v>2.44</v>
      </c>
      <c r="H144" s="1" t="s">
        <v>9</v>
      </c>
    </row>
    <row r="145" spans="1:8" x14ac:dyDescent="0.3">
      <c r="A145" s="1">
        <v>1988</v>
      </c>
      <c r="B145" s="1">
        <v>2</v>
      </c>
      <c r="C145" s="1">
        <v>15</v>
      </c>
      <c r="D145" s="6">
        <v>1988.123</v>
      </c>
      <c r="E145" s="3">
        <v>347.36799999999999</v>
      </c>
      <c r="F145" s="3">
        <v>0.16300000000000001</v>
      </c>
      <c r="G145" s="3">
        <v>2.1910099999999999</v>
      </c>
      <c r="H145" s="1" t="s">
        <v>9</v>
      </c>
    </row>
    <row r="146" spans="1:8" x14ac:dyDescent="0.3">
      <c r="A146" s="1">
        <v>1988</v>
      </c>
      <c r="B146" s="1">
        <v>3</v>
      </c>
      <c r="C146" s="1">
        <v>15</v>
      </c>
      <c r="D146" s="6">
        <v>1988.2021999999999</v>
      </c>
      <c r="E146" s="3">
        <v>347.428</v>
      </c>
      <c r="F146" s="3">
        <v>0.11600000000000001</v>
      </c>
      <c r="G146" s="3">
        <v>1.7940100000000001</v>
      </c>
      <c r="H146" s="1" t="s">
        <v>9</v>
      </c>
    </row>
    <row r="147" spans="1:8" x14ac:dyDescent="0.3">
      <c r="A147" s="1">
        <v>1988</v>
      </c>
      <c r="B147" s="1">
        <v>4</v>
      </c>
      <c r="C147" s="1">
        <v>15</v>
      </c>
      <c r="D147" s="6">
        <v>1988.2869000000001</v>
      </c>
      <c r="E147" s="3">
        <v>347.60700000000003</v>
      </c>
      <c r="F147" s="3">
        <v>0.186</v>
      </c>
      <c r="G147" s="3">
        <v>1.64499</v>
      </c>
      <c r="H147" s="1" t="s">
        <v>9</v>
      </c>
    </row>
    <row r="148" spans="1:8" x14ac:dyDescent="0.3">
      <c r="A148" s="1">
        <v>1988</v>
      </c>
      <c r="B148" s="1">
        <v>5</v>
      </c>
      <c r="C148" s="1">
        <v>15</v>
      </c>
      <c r="D148" s="6">
        <v>1988.3688999999999</v>
      </c>
      <c r="E148" s="3">
        <v>347.81200000000001</v>
      </c>
      <c r="F148" s="3">
        <v>0.14699999999999999</v>
      </c>
      <c r="G148" s="3">
        <v>1.466</v>
      </c>
      <c r="H148" s="1" t="s">
        <v>9</v>
      </c>
    </row>
    <row r="149" spans="1:8" x14ac:dyDescent="0.3">
      <c r="A149" s="1">
        <v>1988</v>
      </c>
      <c r="B149" s="1">
        <v>6</v>
      </c>
      <c r="C149" s="1">
        <v>15</v>
      </c>
      <c r="D149" s="6">
        <v>1988.4536000000001</v>
      </c>
      <c r="E149" s="3">
        <v>348.25200000000001</v>
      </c>
      <c r="F149" s="3">
        <v>0.25600000000000001</v>
      </c>
      <c r="G149" s="3">
        <v>1.427</v>
      </c>
      <c r="H149" s="1" t="s">
        <v>9</v>
      </c>
    </row>
    <row r="150" spans="1:8" x14ac:dyDescent="0.3">
      <c r="A150" s="1">
        <v>1988</v>
      </c>
      <c r="B150" s="1">
        <v>7</v>
      </c>
      <c r="C150" s="1">
        <v>15</v>
      </c>
      <c r="D150" s="6">
        <v>1988.5355</v>
      </c>
      <c r="E150" s="3">
        <v>348.91199999999998</v>
      </c>
      <c r="F150" s="3">
        <v>0.216</v>
      </c>
      <c r="G150" s="3">
        <v>1.36002</v>
      </c>
      <c r="H150" s="1" t="s">
        <v>9</v>
      </c>
    </row>
    <row r="151" spans="1:8" x14ac:dyDescent="0.3">
      <c r="A151" s="1">
        <v>1988</v>
      </c>
      <c r="B151" s="1">
        <v>8</v>
      </c>
      <c r="C151" s="1">
        <v>15</v>
      </c>
      <c r="D151" s="6">
        <v>1988.6202000000001</v>
      </c>
      <c r="E151" s="3">
        <v>349.15600000000001</v>
      </c>
      <c r="F151" s="3">
        <v>0.14199999999999999</v>
      </c>
      <c r="G151" s="3">
        <v>1.3879999999999999</v>
      </c>
      <c r="H151" s="1" t="s">
        <v>9</v>
      </c>
    </row>
    <row r="152" spans="1:8" x14ac:dyDescent="0.3">
      <c r="A152" s="1">
        <v>1988</v>
      </c>
      <c r="B152" s="1">
        <v>9</v>
      </c>
      <c r="C152" s="1">
        <v>15</v>
      </c>
      <c r="D152" s="6">
        <v>1988.7049</v>
      </c>
      <c r="E152" s="3">
        <v>349.05099999999999</v>
      </c>
      <c r="F152" s="3">
        <v>9.7000000000000003E-2</v>
      </c>
      <c r="G152" s="3">
        <v>1.548</v>
      </c>
      <c r="H152" s="1" t="s">
        <v>9</v>
      </c>
    </row>
    <row r="153" spans="1:8" x14ac:dyDescent="0.3">
      <c r="A153" s="1">
        <v>1988</v>
      </c>
      <c r="B153" s="1">
        <v>10</v>
      </c>
      <c r="C153" s="1">
        <v>15</v>
      </c>
      <c r="D153" s="6">
        <v>1988.7869000000001</v>
      </c>
      <c r="E153" s="3">
        <v>348.94799999999998</v>
      </c>
      <c r="F153" s="3">
        <v>0.13900000000000001</v>
      </c>
      <c r="G153" s="3">
        <v>1.4490099999999999</v>
      </c>
      <c r="H153" s="1" t="s">
        <v>9</v>
      </c>
    </row>
    <row r="154" spans="1:8" x14ac:dyDescent="0.3">
      <c r="A154" s="1">
        <v>1988</v>
      </c>
      <c r="B154" s="1">
        <v>11</v>
      </c>
      <c r="C154" s="1">
        <v>15</v>
      </c>
      <c r="D154" s="6">
        <v>1988.8715999999999</v>
      </c>
      <c r="E154" s="3">
        <v>348.87200000000001</v>
      </c>
      <c r="F154" s="3">
        <v>0.126</v>
      </c>
      <c r="G154" s="3">
        <v>1.25299</v>
      </c>
      <c r="H154" s="1" t="s">
        <v>9</v>
      </c>
    </row>
    <row r="155" spans="1:8" x14ac:dyDescent="0.3">
      <c r="A155" s="1">
        <v>1988</v>
      </c>
      <c r="B155" s="1">
        <v>12</v>
      </c>
      <c r="C155" s="1">
        <v>15</v>
      </c>
      <c r="D155" s="6">
        <v>1988.9536000000001</v>
      </c>
      <c r="E155" s="3">
        <v>348.83199999999999</v>
      </c>
      <c r="F155" s="3">
        <v>0.14599999999999999</v>
      </c>
      <c r="G155" s="3">
        <v>1.04498</v>
      </c>
      <c r="H155" s="1" t="s">
        <v>9</v>
      </c>
    </row>
    <row r="156" spans="1:8" x14ac:dyDescent="0.3">
      <c r="A156" s="1">
        <v>1989</v>
      </c>
      <c r="B156" s="1">
        <v>1</v>
      </c>
      <c r="C156" s="1">
        <v>15</v>
      </c>
      <c r="D156" s="6">
        <v>1989.0383999999999</v>
      </c>
      <c r="E156" s="3">
        <v>348.71699999999998</v>
      </c>
      <c r="F156" s="3">
        <v>0.122</v>
      </c>
      <c r="G156" s="3">
        <v>0.77002000000000004</v>
      </c>
      <c r="H156" s="1" t="s">
        <v>9</v>
      </c>
    </row>
    <row r="157" spans="1:8" x14ac:dyDescent="0.3">
      <c r="A157" s="1">
        <v>1989</v>
      </c>
      <c r="B157" s="1">
        <v>2</v>
      </c>
      <c r="C157" s="1">
        <v>15</v>
      </c>
      <c r="D157" s="6">
        <v>1989.1233</v>
      </c>
      <c r="E157" s="3">
        <v>348.75599999999997</v>
      </c>
      <c r="F157" s="3">
        <v>0.152</v>
      </c>
      <c r="G157" s="3">
        <v>0.89099099999999998</v>
      </c>
      <c r="H157" s="1" t="s">
        <v>9</v>
      </c>
    </row>
    <row r="158" spans="1:8" x14ac:dyDescent="0.3">
      <c r="A158" s="1">
        <v>1989</v>
      </c>
      <c r="B158" s="1">
        <v>3</v>
      </c>
      <c r="C158" s="1">
        <v>15</v>
      </c>
      <c r="D158" s="6">
        <v>1989.2</v>
      </c>
      <c r="E158" s="3">
        <v>348.976</v>
      </c>
      <c r="F158" s="3">
        <v>0.154</v>
      </c>
      <c r="G158" s="3">
        <v>1.17099</v>
      </c>
      <c r="H158" s="1" t="s">
        <v>9</v>
      </c>
    </row>
    <row r="159" spans="1:8" x14ac:dyDescent="0.3">
      <c r="A159" s="1">
        <v>1989</v>
      </c>
      <c r="B159" s="1">
        <v>4</v>
      </c>
      <c r="C159" s="1">
        <v>15</v>
      </c>
      <c r="D159" s="6">
        <v>1989.2849000000001</v>
      </c>
      <c r="E159" s="3">
        <v>349.05599999999998</v>
      </c>
      <c r="F159" s="3">
        <v>8.5000000000000006E-2</v>
      </c>
      <c r="G159" s="3">
        <v>1.1990099999999999</v>
      </c>
      <c r="H159" s="1" t="s">
        <v>9</v>
      </c>
    </row>
    <row r="160" spans="1:8" x14ac:dyDescent="0.3">
      <c r="A160" s="1">
        <v>1989</v>
      </c>
      <c r="B160" s="1">
        <v>5</v>
      </c>
      <c r="C160" s="1">
        <v>15</v>
      </c>
      <c r="D160" s="6">
        <v>1989.3670999999999</v>
      </c>
      <c r="E160" s="3">
        <v>349.065</v>
      </c>
      <c r="F160" s="3">
        <v>0.122</v>
      </c>
      <c r="G160" s="3">
        <v>1.19998</v>
      </c>
      <c r="H160" s="1" t="s">
        <v>9</v>
      </c>
    </row>
    <row r="161" spans="1:8" x14ac:dyDescent="0.3">
      <c r="A161" s="1">
        <v>1989</v>
      </c>
      <c r="B161" s="1">
        <v>6</v>
      </c>
      <c r="C161" s="1">
        <v>15</v>
      </c>
      <c r="D161" s="6">
        <v>1989.4521</v>
      </c>
      <c r="E161" s="3">
        <v>349.29700000000003</v>
      </c>
      <c r="F161" s="3">
        <v>0.2</v>
      </c>
      <c r="G161" s="3">
        <v>1.1339999999999999</v>
      </c>
      <c r="H161" s="1" t="s">
        <v>9</v>
      </c>
    </row>
    <row r="162" spans="1:8" x14ac:dyDescent="0.3">
      <c r="A162" s="1">
        <v>1989</v>
      </c>
      <c r="B162" s="1">
        <v>7</v>
      </c>
      <c r="C162" s="1">
        <v>15</v>
      </c>
      <c r="D162" s="6">
        <v>1989.5342000000001</v>
      </c>
      <c r="E162" s="3">
        <v>349.68200000000002</v>
      </c>
      <c r="F162" s="3">
        <v>0.13300000000000001</v>
      </c>
      <c r="G162" s="3">
        <v>1.1319900000000001</v>
      </c>
      <c r="H162" s="1" t="s">
        <v>9</v>
      </c>
    </row>
    <row r="163" spans="1:8" x14ac:dyDescent="0.3">
      <c r="A163" s="1">
        <v>1989</v>
      </c>
      <c r="B163" s="1">
        <v>8</v>
      </c>
      <c r="C163" s="1">
        <v>15</v>
      </c>
      <c r="D163" s="6">
        <v>1989.6192000000001</v>
      </c>
      <c r="E163" s="3">
        <v>350.04700000000003</v>
      </c>
      <c r="F163" s="3">
        <v>0.156</v>
      </c>
      <c r="G163" s="3">
        <v>1.1379999999999999</v>
      </c>
      <c r="H163" s="1" t="s">
        <v>9</v>
      </c>
    </row>
    <row r="164" spans="1:8" x14ac:dyDescent="0.3">
      <c r="A164" s="1">
        <v>1989</v>
      </c>
      <c r="B164" s="1">
        <v>9</v>
      </c>
      <c r="C164" s="1">
        <v>15</v>
      </c>
      <c r="D164" s="6">
        <v>1989.7040999999999</v>
      </c>
      <c r="E164" s="3">
        <v>350.22199999999998</v>
      </c>
      <c r="F164" s="3">
        <v>0.115</v>
      </c>
      <c r="G164" s="3">
        <v>1.0789800000000001</v>
      </c>
      <c r="H164" s="1" t="s">
        <v>9</v>
      </c>
    </row>
    <row r="165" spans="1:8" x14ac:dyDescent="0.3">
      <c r="A165" s="1">
        <v>1989</v>
      </c>
      <c r="B165" s="1">
        <v>10</v>
      </c>
      <c r="C165" s="1">
        <v>15</v>
      </c>
      <c r="D165" s="6">
        <v>1989.7863</v>
      </c>
      <c r="E165" s="3">
        <v>350.14699999999999</v>
      </c>
      <c r="F165" s="3">
        <v>0.17299999999999999</v>
      </c>
      <c r="G165" s="3">
        <v>1.2940100000000001</v>
      </c>
      <c r="H165" s="1" t="s">
        <v>9</v>
      </c>
    </row>
    <row r="166" spans="1:8" x14ac:dyDescent="0.3">
      <c r="A166" s="1">
        <v>1989</v>
      </c>
      <c r="B166" s="1">
        <v>11</v>
      </c>
      <c r="C166" s="1">
        <v>15</v>
      </c>
      <c r="D166" s="6">
        <v>1989.8712</v>
      </c>
      <c r="E166" s="3">
        <v>350.072</v>
      </c>
      <c r="F166" s="3">
        <v>0.111</v>
      </c>
      <c r="G166" s="3">
        <v>1.5469999999999999</v>
      </c>
      <c r="H166" s="1" t="s">
        <v>9</v>
      </c>
    </row>
    <row r="167" spans="1:8" x14ac:dyDescent="0.3">
      <c r="A167" s="1">
        <v>1989</v>
      </c>
      <c r="B167" s="1">
        <v>12</v>
      </c>
      <c r="C167" s="1">
        <v>15</v>
      </c>
      <c r="D167" s="6">
        <v>1989.9534000000001</v>
      </c>
      <c r="E167" s="3">
        <v>349.96600000000001</v>
      </c>
      <c r="F167" s="3">
        <v>0.13</v>
      </c>
      <c r="G167" s="3">
        <v>1.595</v>
      </c>
      <c r="H167" s="1" t="s">
        <v>9</v>
      </c>
    </row>
    <row r="168" spans="1:8" x14ac:dyDescent="0.3">
      <c r="A168" s="1">
        <v>1990</v>
      </c>
      <c r="B168" s="1">
        <v>1</v>
      </c>
      <c r="C168" s="1">
        <v>15</v>
      </c>
      <c r="D168" s="6">
        <v>1990.0383999999999</v>
      </c>
      <c r="E168" s="3">
        <v>349.84899999999999</v>
      </c>
      <c r="F168" s="3">
        <v>0.128</v>
      </c>
      <c r="G168" s="3">
        <v>1.6919900000000001</v>
      </c>
      <c r="H168" s="1" t="s">
        <v>9</v>
      </c>
    </row>
    <row r="169" spans="1:8" x14ac:dyDescent="0.3">
      <c r="A169" s="1">
        <v>1990</v>
      </c>
      <c r="B169" s="1">
        <v>2</v>
      </c>
      <c r="C169" s="1">
        <v>15</v>
      </c>
      <c r="D169" s="6">
        <v>1990.1233</v>
      </c>
      <c r="E169" s="3">
        <v>349.89400000000001</v>
      </c>
      <c r="F169" s="3">
        <v>0.104</v>
      </c>
      <c r="G169" s="3">
        <v>1.6890000000000001</v>
      </c>
      <c r="H169" s="1" t="s">
        <v>9</v>
      </c>
    </row>
    <row r="170" spans="1:8" x14ac:dyDescent="0.3">
      <c r="A170" s="1">
        <v>1990</v>
      </c>
      <c r="B170" s="1">
        <v>3</v>
      </c>
      <c r="C170" s="1">
        <v>15</v>
      </c>
      <c r="D170" s="6">
        <v>1990.2</v>
      </c>
      <c r="E170" s="3">
        <v>350.05500000000001</v>
      </c>
      <c r="F170" s="3">
        <v>0.14199999999999999</v>
      </c>
      <c r="G170" s="3">
        <v>1.5510299999999999</v>
      </c>
      <c r="H170" s="1" t="s">
        <v>9</v>
      </c>
    </row>
    <row r="171" spans="1:8" x14ac:dyDescent="0.3">
      <c r="A171" s="1">
        <v>1990</v>
      </c>
      <c r="B171" s="1">
        <v>4</v>
      </c>
      <c r="C171" s="1">
        <v>15</v>
      </c>
      <c r="D171" s="6">
        <v>1990.2849000000001</v>
      </c>
      <c r="E171" s="3">
        <v>350.35</v>
      </c>
      <c r="F171" s="3">
        <v>0.16600000000000001</v>
      </c>
      <c r="G171" s="3">
        <v>1.6369899999999999</v>
      </c>
      <c r="H171" s="1" t="s">
        <v>9</v>
      </c>
    </row>
    <row r="172" spans="1:8" x14ac:dyDescent="0.3">
      <c r="A172" s="1">
        <v>1990</v>
      </c>
      <c r="B172" s="1">
        <v>5</v>
      </c>
      <c r="C172" s="1">
        <v>15</v>
      </c>
      <c r="D172" s="6">
        <v>1990.3670999999999</v>
      </c>
      <c r="E172" s="3">
        <v>350.61200000000002</v>
      </c>
      <c r="F172" s="3">
        <v>0.23400000000000001</v>
      </c>
      <c r="G172" s="3">
        <v>1.7360199999999999</v>
      </c>
      <c r="H172" s="1" t="s">
        <v>9</v>
      </c>
    </row>
    <row r="173" spans="1:8" x14ac:dyDescent="0.3">
      <c r="A173" s="1">
        <v>1990</v>
      </c>
      <c r="B173" s="1">
        <v>6</v>
      </c>
      <c r="C173" s="1">
        <v>15</v>
      </c>
      <c r="D173" s="6">
        <v>1990.4521</v>
      </c>
      <c r="E173" s="3">
        <v>350.892</v>
      </c>
      <c r="F173" s="3">
        <v>0.16900000000000001</v>
      </c>
      <c r="G173" s="3">
        <v>1.64801</v>
      </c>
      <c r="H173" s="1" t="s">
        <v>9</v>
      </c>
    </row>
    <row r="174" spans="1:8" x14ac:dyDescent="0.3">
      <c r="A174" s="1">
        <v>1990</v>
      </c>
      <c r="B174" s="1">
        <v>7</v>
      </c>
      <c r="C174" s="1">
        <v>15</v>
      </c>
      <c r="D174" s="6">
        <v>1990.5342000000001</v>
      </c>
      <c r="E174" s="3">
        <v>351.37400000000002</v>
      </c>
      <c r="F174" s="3">
        <v>0.17899999999999999</v>
      </c>
      <c r="G174" s="3">
        <v>1.60501</v>
      </c>
      <c r="H174" s="1" t="s">
        <v>9</v>
      </c>
    </row>
    <row r="175" spans="1:8" x14ac:dyDescent="0.3">
      <c r="A175" s="1">
        <v>1990</v>
      </c>
      <c r="B175" s="1">
        <v>8</v>
      </c>
      <c r="C175" s="1">
        <v>15</v>
      </c>
      <c r="D175" s="6">
        <v>1990.6192000000001</v>
      </c>
      <c r="E175" s="3">
        <v>351.73599999999999</v>
      </c>
      <c r="F175" s="3">
        <v>0.157</v>
      </c>
      <c r="G175" s="3">
        <v>1.6569799999999999</v>
      </c>
      <c r="H175" s="1" t="s">
        <v>9</v>
      </c>
    </row>
    <row r="176" spans="1:8" x14ac:dyDescent="0.3">
      <c r="A176" s="1">
        <v>1990</v>
      </c>
      <c r="B176" s="1">
        <v>9</v>
      </c>
      <c r="C176" s="1">
        <v>15</v>
      </c>
      <c r="D176" s="6">
        <v>1990.7040999999999</v>
      </c>
      <c r="E176" s="3">
        <v>351.77300000000002</v>
      </c>
      <c r="F176" s="3">
        <v>0.154</v>
      </c>
      <c r="G176" s="3">
        <v>1.6499900000000001</v>
      </c>
      <c r="H176" s="1" t="s">
        <v>9</v>
      </c>
    </row>
    <row r="177" spans="1:8" x14ac:dyDescent="0.3">
      <c r="A177" s="1">
        <v>1990</v>
      </c>
      <c r="B177" s="1">
        <v>10</v>
      </c>
      <c r="C177" s="1">
        <v>15</v>
      </c>
      <c r="D177" s="6">
        <v>1990.7863</v>
      </c>
      <c r="E177" s="3">
        <v>351.78399999999999</v>
      </c>
      <c r="F177" s="3">
        <v>0.13900000000000001</v>
      </c>
      <c r="G177" s="3">
        <v>1.5289900000000001</v>
      </c>
      <c r="H177" s="1" t="s">
        <v>9</v>
      </c>
    </row>
    <row r="178" spans="1:8" x14ac:dyDescent="0.3">
      <c r="A178" s="1">
        <v>1990</v>
      </c>
      <c r="B178" s="1">
        <v>11</v>
      </c>
      <c r="C178" s="1">
        <v>15</v>
      </c>
      <c r="D178" s="6">
        <v>1990.8712</v>
      </c>
      <c r="E178" s="3">
        <v>351.80799999999999</v>
      </c>
      <c r="F178" s="3">
        <v>0.129</v>
      </c>
      <c r="G178" s="3">
        <v>1.67099</v>
      </c>
      <c r="H178" s="1" t="s">
        <v>9</v>
      </c>
    </row>
    <row r="179" spans="1:8" x14ac:dyDescent="0.3">
      <c r="A179" s="1">
        <v>1990</v>
      </c>
      <c r="B179" s="1">
        <v>12</v>
      </c>
      <c r="C179" s="1">
        <v>15</v>
      </c>
      <c r="D179" s="6">
        <v>1990.9534000000001</v>
      </c>
      <c r="E179" s="3">
        <v>351.61399999999998</v>
      </c>
      <c r="F179" s="3">
        <v>0.15</v>
      </c>
      <c r="G179" s="3">
        <v>1.7619899999999999</v>
      </c>
      <c r="H179" s="1" t="s">
        <v>9</v>
      </c>
    </row>
    <row r="180" spans="1:8" x14ac:dyDescent="0.3">
      <c r="A180" s="1">
        <v>1991</v>
      </c>
      <c r="B180" s="1">
        <v>1</v>
      </c>
      <c r="C180" s="1">
        <v>15</v>
      </c>
      <c r="D180" s="6">
        <v>1991.0383999999999</v>
      </c>
      <c r="E180" s="3">
        <v>351.45400000000001</v>
      </c>
      <c r="F180" s="3">
        <v>0.18099999999999999</v>
      </c>
      <c r="G180" s="3">
        <v>1.4859899999999999</v>
      </c>
      <c r="H180" s="1" t="s">
        <v>9</v>
      </c>
    </row>
    <row r="181" spans="1:8" x14ac:dyDescent="0.3">
      <c r="A181" s="1">
        <v>1991</v>
      </c>
      <c r="B181" s="1">
        <v>2</v>
      </c>
      <c r="C181" s="1">
        <v>15</v>
      </c>
      <c r="D181" s="6">
        <v>1991.1233</v>
      </c>
      <c r="E181" s="3">
        <v>351.55099999999999</v>
      </c>
      <c r="F181" s="3">
        <v>0.184</v>
      </c>
      <c r="G181" s="3">
        <v>1.45502</v>
      </c>
      <c r="H181" s="1" t="s">
        <v>9</v>
      </c>
    </row>
    <row r="182" spans="1:8" x14ac:dyDescent="0.3">
      <c r="A182" s="1">
        <v>1991</v>
      </c>
      <c r="B182" s="1">
        <v>3</v>
      </c>
      <c r="C182" s="1">
        <v>15</v>
      </c>
      <c r="D182" s="6">
        <v>1991.2</v>
      </c>
      <c r="E182" s="3">
        <v>351.70499999999998</v>
      </c>
      <c r="F182" s="3">
        <v>0.115</v>
      </c>
      <c r="G182" s="3">
        <v>1.5549900000000001</v>
      </c>
      <c r="H182" s="1" t="s">
        <v>9</v>
      </c>
    </row>
    <row r="183" spans="1:8" x14ac:dyDescent="0.3">
      <c r="A183" s="1">
        <v>1991</v>
      </c>
      <c r="B183" s="1">
        <v>4</v>
      </c>
      <c r="C183" s="1">
        <v>15</v>
      </c>
      <c r="D183" s="6">
        <v>1991.2849000000001</v>
      </c>
      <c r="E183" s="3">
        <v>351.87900000000002</v>
      </c>
      <c r="F183" s="3">
        <v>0.155</v>
      </c>
      <c r="G183" s="3">
        <v>2.1430099999999999</v>
      </c>
      <c r="H183" s="1" t="s">
        <v>9</v>
      </c>
    </row>
    <row r="184" spans="1:8" x14ac:dyDescent="0.3">
      <c r="A184" s="1">
        <v>1991</v>
      </c>
      <c r="B184" s="1">
        <v>5</v>
      </c>
      <c r="C184" s="1">
        <v>15</v>
      </c>
      <c r="D184" s="6">
        <v>1991.3670999999999</v>
      </c>
      <c r="E184" s="3">
        <v>352.28300000000002</v>
      </c>
      <c r="F184" s="3">
        <v>0.17399999999999999</v>
      </c>
      <c r="G184" s="3">
        <v>1.8729899999999999</v>
      </c>
      <c r="H184" s="1" t="s">
        <v>9</v>
      </c>
    </row>
    <row r="185" spans="1:8" x14ac:dyDescent="0.3">
      <c r="A185" s="1">
        <v>1991</v>
      </c>
      <c r="B185" s="1">
        <v>6</v>
      </c>
      <c r="C185" s="1">
        <v>15</v>
      </c>
      <c r="D185" s="6">
        <v>1991.4521</v>
      </c>
      <c r="E185" s="3">
        <v>352.654</v>
      </c>
      <c r="F185" s="3">
        <v>0.218</v>
      </c>
      <c r="G185" s="3">
        <v>1.9529700000000001</v>
      </c>
      <c r="H185" s="1" t="s">
        <v>9</v>
      </c>
    </row>
    <row r="186" spans="1:8" x14ac:dyDescent="0.3">
      <c r="A186" s="1">
        <v>1991</v>
      </c>
      <c r="B186" s="1">
        <v>7</v>
      </c>
      <c r="C186" s="1">
        <v>15</v>
      </c>
      <c r="D186" s="6">
        <v>1991.5342000000001</v>
      </c>
      <c r="E186" s="3">
        <v>352.86</v>
      </c>
      <c r="F186" s="3">
        <v>0.125</v>
      </c>
      <c r="G186" s="3">
        <v>1.90198</v>
      </c>
      <c r="H186" s="1" t="s">
        <v>9</v>
      </c>
    </row>
    <row r="187" spans="1:8" x14ac:dyDescent="0.3">
      <c r="A187" s="1">
        <v>1991</v>
      </c>
      <c r="B187" s="1">
        <v>8</v>
      </c>
      <c r="C187" s="1">
        <v>15</v>
      </c>
      <c r="D187" s="6">
        <v>1991.6192000000001</v>
      </c>
      <c r="E187" s="3">
        <v>353.19099999999997</v>
      </c>
      <c r="F187" s="3">
        <v>0.13600000000000001</v>
      </c>
      <c r="G187" s="3">
        <v>1.6850000000000001</v>
      </c>
      <c r="H187" s="1" t="s">
        <v>9</v>
      </c>
    </row>
    <row r="188" spans="1:8" x14ac:dyDescent="0.3">
      <c r="A188" s="1">
        <v>1991</v>
      </c>
      <c r="B188" s="1">
        <v>9</v>
      </c>
      <c r="C188" s="1">
        <v>15</v>
      </c>
      <c r="D188" s="6">
        <v>1991.7040999999999</v>
      </c>
      <c r="E188" s="3">
        <v>353.32799999999997</v>
      </c>
      <c r="F188" s="3">
        <v>0.13500000000000001</v>
      </c>
      <c r="G188" s="3">
        <v>1.4640200000000001</v>
      </c>
      <c r="H188" s="1" t="s">
        <v>9</v>
      </c>
    </row>
    <row r="189" spans="1:8" x14ac:dyDescent="0.3">
      <c r="A189" s="1">
        <v>1991</v>
      </c>
      <c r="B189" s="1">
        <v>10</v>
      </c>
      <c r="C189" s="1">
        <v>15</v>
      </c>
      <c r="D189" s="6">
        <v>1991.7863010000001</v>
      </c>
      <c r="E189" s="3">
        <v>353.92700000000002</v>
      </c>
      <c r="F189" s="3">
        <v>0.16289999999999999</v>
      </c>
      <c r="G189" s="3">
        <v>1.47699</v>
      </c>
      <c r="H189" s="1" t="s">
        <v>10</v>
      </c>
    </row>
    <row r="190" spans="1:8" x14ac:dyDescent="0.3">
      <c r="A190" s="1">
        <v>1991</v>
      </c>
      <c r="B190" s="1">
        <v>11</v>
      </c>
      <c r="C190" s="1">
        <v>15</v>
      </c>
      <c r="D190" s="6">
        <v>1991.8712330000001</v>
      </c>
      <c r="E190" s="3">
        <v>353.68099999999998</v>
      </c>
      <c r="F190" s="3">
        <v>0.1109</v>
      </c>
      <c r="G190" s="3">
        <v>1.45102</v>
      </c>
      <c r="H190" s="1" t="s">
        <v>10</v>
      </c>
    </row>
    <row r="191" spans="1:8" x14ac:dyDescent="0.3">
      <c r="A191" s="1">
        <v>1991</v>
      </c>
      <c r="B191" s="1">
        <v>12</v>
      </c>
      <c r="C191" s="1">
        <v>15</v>
      </c>
      <c r="D191" s="6">
        <v>1991.9534249999999</v>
      </c>
      <c r="E191" s="3">
        <v>353.56700000000001</v>
      </c>
      <c r="F191" s="3">
        <v>0.44740000000000002</v>
      </c>
      <c r="G191" s="3">
        <v>1.5180100000000001</v>
      </c>
      <c r="H191" s="1" t="s">
        <v>10</v>
      </c>
    </row>
    <row r="192" spans="1:8" x14ac:dyDescent="0.3">
      <c r="A192" s="1">
        <v>1992</v>
      </c>
      <c r="B192" s="1">
        <v>1</v>
      </c>
      <c r="C192" s="1">
        <v>15</v>
      </c>
      <c r="D192" s="6">
        <v>1992.0382509999999</v>
      </c>
      <c r="E192" s="3">
        <v>353.35599999999999</v>
      </c>
      <c r="F192" s="3">
        <v>0.20899999999999999</v>
      </c>
      <c r="G192" s="3">
        <v>1.8350200000000001</v>
      </c>
      <c r="H192" s="1" t="s">
        <v>10</v>
      </c>
    </row>
    <row r="193" spans="1:8" x14ac:dyDescent="0.3">
      <c r="A193" s="1">
        <v>1992</v>
      </c>
      <c r="B193" s="1">
        <v>2</v>
      </c>
      <c r="C193" s="1">
        <v>15</v>
      </c>
      <c r="D193" s="6">
        <v>1992.1229510000001</v>
      </c>
      <c r="E193" s="3">
        <v>353.23599999999999</v>
      </c>
      <c r="F193" s="3">
        <v>0.61060000000000003</v>
      </c>
      <c r="G193" s="3">
        <v>1.7059899999999999</v>
      </c>
      <c r="H193" s="1" t="s">
        <v>10</v>
      </c>
    </row>
    <row r="194" spans="1:8" x14ac:dyDescent="0.3">
      <c r="A194" s="1">
        <v>1992</v>
      </c>
      <c r="B194" s="1">
        <v>3</v>
      </c>
      <c r="C194" s="1">
        <v>15</v>
      </c>
      <c r="D194" s="6">
        <v>1992.202186</v>
      </c>
      <c r="E194" s="3">
        <v>353.16899999999998</v>
      </c>
      <c r="F194" s="3">
        <v>8.5300000000000001E-2</v>
      </c>
      <c r="G194" s="3">
        <v>1.70099</v>
      </c>
      <c r="H194" s="1" t="s">
        <v>10</v>
      </c>
    </row>
    <row r="195" spans="1:8" x14ac:dyDescent="0.3">
      <c r="A195" s="1">
        <v>1992</v>
      </c>
      <c r="B195" s="1">
        <v>4</v>
      </c>
      <c r="C195" s="1">
        <v>15</v>
      </c>
      <c r="D195" s="6">
        <v>1992.286885</v>
      </c>
      <c r="E195" s="3">
        <v>353.35599999999999</v>
      </c>
      <c r="F195" s="3">
        <v>0.1908</v>
      </c>
      <c r="G195" s="3">
        <v>1.1570100000000001</v>
      </c>
      <c r="H195" s="1" t="s">
        <v>10</v>
      </c>
    </row>
    <row r="196" spans="1:8" x14ac:dyDescent="0.3">
      <c r="A196" s="1">
        <v>1992</v>
      </c>
      <c r="B196" s="1">
        <v>5</v>
      </c>
      <c r="C196" s="1">
        <v>15</v>
      </c>
      <c r="D196" s="6">
        <v>1992.3688520000001</v>
      </c>
      <c r="E196" s="3">
        <v>353.73399999999998</v>
      </c>
      <c r="F196" s="3">
        <v>0.15770000000000001</v>
      </c>
      <c r="G196" s="3">
        <v>1.18201</v>
      </c>
      <c r="H196" s="1" t="s">
        <v>10</v>
      </c>
    </row>
    <row r="197" spans="1:8" x14ac:dyDescent="0.3">
      <c r="A197" s="1">
        <v>1992</v>
      </c>
      <c r="B197" s="1">
        <v>6</v>
      </c>
      <c r="C197" s="1">
        <v>15</v>
      </c>
      <c r="D197" s="6">
        <v>1992.4535519999999</v>
      </c>
      <c r="E197" s="3">
        <v>354.17200000000003</v>
      </c>
      <c r="F197" s="3">
        <v>0.223</v>
      </c>
      <c r="G197" s="3">
        <v>1.0380199999999999</v>
      </c>
      <c r="H197" s="1" t="s">
        <v>10</v>
      </c>
    </row>
    <row r="198" spans="1:8" x14ac:dyDescent="0.3">
      <c r="A198" s="1">
        <v>1992</v>
      </c>
      <c r="B198" s="1">
        <v>7</v>
      </c>
      <c r="C198" s="1">
        <v>15</v>
      </c>
      <c r="D198" s="6">
        <v>1992.535519</v>
      </c>
      <c r="E198" s="3">
        <v>354.69499999999999</v>
      </c>
      <c r="F198" s="3">
        <v>0.18529999999999999</v>
      </c>
      <c r="G198" s="3">
        <v>0.92202799999999996</v>
      </c>
      <c r="H198" s="1" t="s">
        <v>10</v>
      </c>
    </row>
    <row r="199" spans="1:8" x14ac:dyDescent="0.3">
      <c r="A199" s="1">
        <v>1992</v>
      </c>
      <c r="B199" s="1">
        <v>8</v>
      </c>
      <c r="C199" s="1">
        <v>15</v>
      </c>
      <c r="D199" s="6">
        <v>1992.6202189999999</v>
      </c>
      <c r="E199" s="3">
        <v>354.89699999999999</v>
      </c>
      <c r="F199" s="3">
        <v>0.22850000000000001</v>
      </c>
      <c r="G199" s="3">
        <v>0.96701000000000004</v>
      </c>
      <c r="H199" s="1" t="s">
        <v>10</v>
      </c>
    </row>
    <row r="200" spans="1:8" x14ac:dyDescent="0.3">
      <c r="A200" s="1">
        <v>1992</v>
      </c>
      <c r="B200" s="1">
        <v>9</v>
      </c>
      <c r="C200" s="1">
        <v>15</v>
      </c>
      <c r="D200" s="6">
        <v>1992.7049179999999</v>
      </c>
      <c r="E200" s="3">
        <v>355.029</v>
      </c>
      <c r="F200" s="3">
        <v>0.19070000000000001</v>
      </c>
      <c r="G200" s="3">
        <v>1.254</v>
      </c>
      <c r="H200" s="1" t="s">
        <v>10</v>
      </c>
    </row>
    <row r="201" spans="1:8" x14ac:dyDescent="0.3">
      <c r="A201" s="1">
        <v>1992</v>
      </c>
      <c r="B201" s="1">
        <v>10</v>
      </c>
      <c r="C201" s="1">
        <v>15</v>
      </c>
      <c r="D201" s="6">
        <v>1992.786885</v>
      </c>
      <c r="E201" s="3">
        <v>355.084</v>
      </c>
      <c r="F201" s="3">
        <v>0.1469</v>
      </c>
      <c r="G201" s="3">
        <v>1.0020100000000001</v>
      </c>
      <c r="H201" s="1" t="s">
        <v>10</v>
      </c>
    </row>
    <row r="202" spans="1:8" x14ac:dyDescent="0.3">
      <c r="A202" s="1">
        <v>1992</v>
      </c>
      <c r="B202" s="1">
        <v>11</v>
      </c>
      <c r="C202" s="1">
        <v>15</v>
      </c>
      <c r="D202" s="6">
        <v>1992.8715850000001</v>
      </c>
      <c r="E202" s="3">
        <v>354.863</v>
      </c>
      <c r="F202" s="3">
        <v>0.10680000000000001</v>
      </c>
      <c r="G202" s="3">
        <v>0.59197999999999995</v>
      </c>
      <c r="H202" s="1" t="s">
        <v>10</v>
      </c>
    </row>
    <row r="203" spans="1:8" x14ac:dyDescent="0.3">
      <c r="A203" s="1">
        <v>1992</v>
      </c>
      <c r="B203" s="1">
        <v>12</v>
      </c>
      <c r="C203" s="1">
        <v>15</v>
      </c>
      <c r="D203" s="6">
        <v>1992.9535519999999</v>
      </c>
      <c r="E203" s="3">
        <v>354.60500000000002</v>
      </c>
      <c r="F203" s="3">
        <v>0.22520000000000001</v>
      </c>
      <c r="G203" s="3">
        <v>0.58999599999999996</v>
      </c>
      <c r="H203" s="1" t="s">
        <v>10</v>
      </c>
    </row>
    <row r="204" spans="1:8" x14ac:dyDescent="0.3">
      <c r="A204" s="1">
        <v>1993</v>
      </c>
      <c r="B204" s="1">
        <v>1</v>
      </c>
      <c r="C204" s="1">
        <v>15</v>
      </c>
      <c r="D204" s="6">
        <v>1993.038356</v>
      </c>
      <c r="E204" s="3">
        <v>354.27800000000002</v>
      </c>
      <c r="F204" s="3">
        <v>0.1835</v>
      </c>
      <c r="G204" s="3">
        <v>0.54299900000000001</v>
      </c>
      <c r="H204" s="1" t="s">
        <v>10</v>
      </c>
    </row>
    <row r="205" spans="1:8" x14ac:dyDescent="0.3">
      <c r="A205" s="1">
        <v>1993</v>
      </c>
      <c r="B205" s="1">
        <v>2</v>
      </c>
      <c r="C205" s="1">
        <v>15</v>
      </c>
      <c r="D205" s="6">
        <v>1993.123288</v>
      </c>
      <c r="E205" s="3">
        <v>354.20299999999997</v>
      </c>
      <c r="F205" s="3">
        <v>0.1206</v>
      </c>
      <c r="G205" s="3">
        <v>0.75900299999999998</v>
      </c>
      <c r="H205" s="1" t="s">
        <v>10</v>
      </c>
    </row>
    <row r="206" spans="1:8" x14ac:dyDescent="0.3">
      <c r="A206" s="1">
        <v>1993</v>
      </c>
      <c r="B206" s="1">
        <v>3</v>
      </c>
      <c r="C206" s="1">
        <v>15</v>
      </c>
      <c r="D206" s="6">
        <v>1993.2</v>
      </c>
      <c r="E206" s="3">
        <v>354.423</v>
      </c>
      <c r="F206" s="3">
        <v>0.12330000000000001</v>
      </c>
      <c r="G206" s="3">
        <v>0.85202</v>
      </c>
      <c r="H206" s="1" t="s">
        <v>10</v>
      </c>
    </row>
    <row r="207" spans="1:8" x14ac:dyDescent="0.3">
      <c r="A207" s="1">
        <v>1993</v>
      </c>
      <c r="B207" s="1">
        <v>4</v>
      </c>
      <c r="C207" s="1">
        <v>15</v>
      </c>
      <c r="D207" s="6">
        <v>1993.284932</v>
      </c>
      <c r="E207" s="3">
        <v>354.358</v>
      </c>
      <c r="F207" s="3">
        <v>0.18540000000000001</v>
      </c>
      <c r="G207" s="3">
        <v>0.83898899999999998</v>
      </c>
      <c r="H207" s="1" t="s">
        <v>10</v>
      </c>
    </row>
    <row r="208" spans="1:8" x14ac:dyDescent="0.3">
      <c r="A208" s="1">
        <v>1993</v>
      </c>
      <c r="B208" s="1">
        <v>5</v>
      </c>
      <c r="C208" s="1">
        <v>15</v>
      </c>
      <c r="D208" s="6">
        <v>1993.367123</v>
      </c>
      <c r="E208" s="3">
        <v>354.32600000000002</v>
      </c>
      <c r="F208" s="3">
        <v>0.2049</v>
      </c>
      <c r="G208" s="3">
        <v>0.96398899999999998</v>
      </c>
      <c r="H208" s="1" t="s">
        <v>10</v>
      </c>
    </row>
    <row r="209" spans="1:8" x14ac:dyDescent="0.3">
      <c r="A209" s="1">
        <v>1993</v>
      </c>
      <c r="B209" s="1">
        <v>6</v>
      </c>
      <c r="C209" s="1">
        <v>15</v>
      </c>
      <c r="D209" s="6">
        <v>1993.452055</v>
      </c>
      <c r="E209" s="3">
        <v>354.762</v>
      </c>
      <c r="F209" s="3">
        <v>0.24510000000000001</v>
      </c>
      <c r="G209" s="3">
        <v>0.91098000000000001</v>
      </c>
      <c r="H209" s="1" t="s">
        <v>10</v>
      </c>
    </row>
    <row r="210" spans="1:8" x14ac:dyDescent="0.3">
      <c r="A210" s="1">
        <v>1993</v>
      </c>
      <c r="B210" s="1">
        <v>7</v>
      </c>
      <c r="C210" s="1">
        <v>15</v>
      </c>
      <c r="D210" s="6">
        <v>1993.5342470000001</v>
      </c>
      <c r="E210" s="3">
        <v>355.238</v>
      </c>
      <c r="F210" s="3">
        <v>0.34129999999999999</v>
      </c>
      <c r="G210" s="3">
        <v>0.86199999999999999</v>
      </c>
      <c r="H210" s="1" t="s">
        <v>10</v>
      </c>
    </row>
    <row r="211" spans="1:8" x14ac:dyDescent="0.3">
      <c r="A211" s="1">
        <v>1993</v>
      </c>
      <c r="B211" s="1">
        <v>8</v>
      </c>
      <c r="C211" s="1">
        <v>15</v>
      </c>
      <c r="D211" s="6">
        <v>1993.6191779999999</v>
      </c>
      <c r="E211" s="3">
        <v>355.65600000000001</v>
      </c>
      <c r="F211" s="3">
        <v>0.23780000000000001</v>
      </c>
      <c r="G211" s="3">
        <v>0.94399999999999995</v>
      </c>
      <c r="H211" s="1" t="s">
        <v>10</v>
      </c>
    </row>
    <row r="212" spans="1:8" x14ac:dyDescent="0.3">
      <c r="A212" s="1">
        <v>1993</v>
      </c>
      <c r="B212" s="1">
        <v>9</v>
      </c>
      <c r="C212" s="1">
        <v>15</v>
      </c>
      <c r="D212" s="6">
        <v>1993.7041099999999</v>
      </c>
      <c r="E212" s="3">
        <v>355.88099999999997</v>
      </c>
      <c r="F212" s="3">
        <v>9.8900000000000002E-2</v>
      </c>
      <c r="G212" s="3">
        <v>1.1269800000000001</v>
      </c>
      <c r="H212" s="1" t="s">
        <v>10</v>
      </c>
    </row>
    <row r="213" spans="1:8" x14ac:dyDescent="0.3">
      <c r="A213" s="1">
        <v>1993</v>
      </c>
      <c r="B213" s="1">
        <v>10</v>
      </c>
      <c r="C213" s="1">
        <v>15</v>
      </c>
      <c r="D213" s="6">
        <v>1993.7863010000001</v>
      </c>
      <c r="E213" s="3">
        <v>355.923</v>
      </c>
      <c r="F213" s="3">
        <v>0.2117</v>
      </c>
      <c r="G213" s="3">
        <v>1.45001</v>
      </c>
      <c r="H213" s="1" t="s">
        <v>10</v>
      </c>
    </row>
    <row r="214" spans="1:8" x14ac:dyDescent="0.3">
      <c r="A214" s="1">
        <v>1993</v>
      </c>
      <c r="B214" s="1">
        <v>11</v>
      </c>
      <c r="C214" s="1">
        <v>15</v>
      </c>
      <c r="D214" s="6">
        <v>1993.8712330000001</v>
      </c>
      <c r="E214" s="3">
        <v>355.827</v>
      </c>
      <c r="F214" s="3">
        <v>0.21410000000000001</v>
      </c>
      <c r="G214" s="3">
        <v>1.63602</v>
      </c>
      <c r="H214" s="1" t="s">
        <v>10</v>
      </c>
    </row>
    <row r="215" spans="1:8" x14ac:dyDescent="0.3">
      <c r="A215" s="1">
        <v>1993</v>
      </c>
      <c r="B215" s="1">
        <v>12</v>
      </c>
      <c r="C215" s="1">
        <v>15</v>
      </c>
      <c r="D215" s="6">
        <v>1993.9534249999999</v>
      </c>
      <c r="E215" s="3">
        <v>355.51600000000002</v>
      </c>
      <c r="F215" s="3">
        <v>0.1167</v>
      </c>
      <c r="G215" s="3">
        <v>1.4680200000000001</v>
      </c>
      <c r="H215" s="1" t="s">
        <v>10</v>
      </c>
    </row>
    <row r="216" spans="1:8" x14ac:dyDescent="0.3">
      <c r="A216" s="1">
        <v>1994</v>
      </c>
      <c r="B216" s="1">
        <v>1</v>
      </c>
      <c r="C216" s="1">
        <v>15</v>
      </c>
      <c r="D216" s="6">
        <v>1994.038356</v>
      </c>
      <c r="E216" s="3">
        <v>355.14</v>
      </c>
      <c r="F216" s="3">
        <v>8.3000000000000004E-2</v>
      </c>
      <c r="G216" s="3">
        <v>1.4790000000000001</v>
      </c>
      <c r="H216" s="1" t="s">
        <v>10</v>
      </c>
    </row>
    <row r="217" spans="1:8" x14ac:dyDescent="0.3">
      <c r="A217" s="1">
        <v>1994</v>
      </c>
      <c r="B217" s="1">
        <v>2</v>
      </c>
      <c r="C217" s="1">
        <v>15</v>
      </c>
      <c r="D217" s="6">
        <v>1994.123288</v>
      </c>
      <c r="E217" s="3">
        <v>355.14699999999999</v>
      </c>
      <c r="F217" s="3">
        <v>0.35410000000000003</v>
      </c>
      <c r="G217" s="3">
        <v>1.625</v>
      </c>
      <c r="H217" s="1" t="s">
        <v>10</v>
      </c>
    </row>
    <row r="218" spans="1:8" x14ac:dyDescent="0.3">
      <c r="A218" s="1">
        <v>1994</v>
      </c>
      <c r="B218" s="1">
        <v>3</v>
      </c>
      <c r="C218" s="1">
        <v>15</v>
      </c>
      <c r="D218" s="6">
        <v>1994.2</v>
      </c>
      <c r="E218" s="3">
        <v>355.55</v>
      </c>
      <c r="F218" s="3">
        <v>0.33510000000000001</v>
      </c>
      <c r="G218" s="3">
        <v>1.724</v>
      </c>
      <c r="H218" s="1" t="s">
        <v>10</v>
      </c>
    </row>
    <row r="219" spans="1:8" x14ac:dyDescent="0.3">
      <c r="A219" s="1">
        <v>1994</v>
      </c>
      <c r="B219" s="1">
        <v>4</v>
      </c>
      <c r="C219" s="1">
        <v>15</v>
      </c>
      <c r="D219" s="6">
        <v>1994.284932</v>
      </c>
      <c r="E219" s="3">
        <v>355.80799999999999</v>
      </c>
      <c r="F219" s="3">
        <v>0.19259999999999999</v>
      </c>
      <c r="G219" s="3">
        <v>1.702</v>
      </c>
      <c r="H219" s="1" t="s">
        <v>10</v>
      </c>
    </row>
    <row r="220" spans="1:8" x14ac:dyDescent="0.3">
      <c r="A220" s="1">
        <v>1994</v>
      </c>
      <c r="B220" s="1">
        <v>5</v>
      </c>
      <c r="C220" s="1">
        <v>15</v>
      </c>
      <c r="D220" s="6">
        <v>1994.367123</v>
      </c>
      <c r="E220" s="3">
        <v>355.96199999999999</v>
      </c>
      <c r="F220" s="3">
        <v>0.22950000000000001</v>
      </c>
      <c r="G220" s="3">
        <v>1.681</v>
      </c>
      <c r="H220" s="1" t="s">
        <v>10</v>
      </c>
    </row>
    <row r="221" spans="1:8" x14ac:dyDescent="0.3">
      <c r="A221" s="1">
        <v>1994</v>
      </c>
      <c r="B221" s="1">
        <v>6</v>
      </c>
      <c r="C221" s="1">
        <v>15</v>
      </c>
      <c r="D221" s="6">
        <v>1994.452055</v>
      </c>
      <c r="E221" s="3">
        <v>356.23</v>
      </c>
      <c r="F221" s="3">
        <v>0.20119999999999999</v>
      </c>
      <c r="G221" s="3">
        <v>1.95102</v>
      </c>
      <c r="H221" s="1" t="s">
        <v>10</v>
      </c>
    </row>
    <row r="222" spans="1:8" x14ac:dyDescent="0.3">
      <c r="A222" s="1">
        <v>1994</v>
      </c>
      <c r="B222" s="1">
        <v>7</v>
      </c>
      <c r="C222" s="1">
        <v>15</v>
      </c>
      <c r="D222" s="6">
        <v>1994.5342470000001</v>
      </c>
      <c r="E222" s="3">
        <v>356.71699999999998</v>
      </c>
      <c r="F222" s="3">
        <v>0.27050000000000002</v>
      </c>
      <c r="G222" s="3">
        <v>2.3919999999999999</v>
      </c>
      <c r="H222" s="1" t="s">
        <v>10</v>
      </c>
    </row>
    <row r="223" spans="1:8" x14ac:dyDescent="0.3">
      <c r="A223" s="1">
        <v>1994</v>
      </c>
      <c r="B223" s="1">
        <v>8</v>
      </c>
      <c r="C223" s="1">
        <v>15</v>
      </c>
      <c r="D223" s="6">
        <v>1994.6191779999999</v>
      </c>
      <c r="E223" s="3">
        <v>357.28100000000001</v>
      </c>
      <c r="F223" s="3">
        <v>0.1915</v>
      </c>
      <c r="G223" s="3">
        <v>2.4629799999999999</v>
      </c>
      <c r="H223" s="1" t="s">
        <v>10</v>
      </c>
    </row>
    <row r="224" spans="1:8" x14ac:dyDescent="0.3">
      <c r="A224" s="1">
        <v>1994</v>
      </c>
      <c r="B224" s="1">
        <v>9</v>
      </c>
      <c r="C224" s="1">
        <v>15</v>
      </c>
      <c r="D224" s="6">
        <v>1994.7041099999999</v>
      </c>
      <c r="E224" s="3">
        <v>357.60500000000002</v>
      </c>
      <c r="F224" s="3">
        <v>0.1011</v>
      </c>
      <c r="G224" s="3">
        <v>2.0510299999999999</v>
      </c>
      <c r="H224" s="1" t="s">
        <v>10</v>
      </c>
    </row>
    <row r="225" spans="1:8" x14ac:dyDescent="0.3">
      <c r="A225" s="1">
        <v>1994</v>
      </c>
      <c r="B225" s="1">
        <v>10</v>
      </c>
      <c r="C225" s="1">
        <v>15</v>
      </c>
      <c r="D225" s="6">
        <v>1994.7863010000001</v>
      </c>
      <c r="E225" s="3">
        <v>357.625</v>
      </c>
      <c r="F225" s="3">
        <v>0.15210000000000001</v>
      </c>
      <c r="G225" s="3">
        <v>1.7889699999999999</v>
      </c>
      <c r="H225" s="1" t="s">
        <v>10</v>
      </c>
    </row>
    <row r="226" spans="1:8" x14ac:dyDescent="0.3">
      <c r="A226" s="1">
        <v>1994</v>
      </c>
      <c r="B226" s="1">
        <v>11</v>
      </c>
      <c r="C226" s="1">
        <v>15</v>
      </c>
      <c r="D226" s="6">
        <v>1994.8712330000001</v>
      </c>
      <c r="E226" s="3">
        <v>357.50799999999998</v>
      </c>
      <c r="F226" s="3">
        <v>0.1179</v>
      </c>
      <c r="G226" s="3">
        <v>1.9339900000000001</v>
      </c>
      <c r="H226" s="1" t="s">
        <v>10</v>
      </c>
    </row>
    <row r="227" spans="1:8" x14ac:dyDescent="0.3">
      <c r="A227" s="1">
        <v>1994</v>
      </c>
      <c r="B227" s="1">
        <v>12</v>
      </c>
      <c r="C227" s="1">
        <v>15</v>
      </c>
      <c r="D227" s="6">
        <v>1994.9534249999999</v>
      </c>
      <c r="E227" s="3">
        <v>357.46699999999998</v>
      </c>
      <c r="F227" s="3">
        <v>0.21679999999999999</v>
      </c>
      <c r="G227" s="3">
        <v>2.0619800000000001</v>
      </c>
      <c r="H227" s="1" t="s">
        <v>10</v>
      </c>
    </row>
    <row r="228" spans="1:8" x14ac:dyDescent="0.3">
      <c r="A228" s="1">
        <v>1995</v>
      </c>
      <c r="B228" s="1">
        <v>1</v>
      </c>
      <c r="C228" s="1">
        <v>15</v>
      </c>
      <c r="D228" s="6">
        <v>1995.038356</v>
      </c>
      <c r="E228" s="3">
        <v>357.53199999999998</v>
      </c>
      <c r="F228" s="3">
        <v>0.20399999999999999</v>
      </c>
      <c r="G228" s="3">
        <v>1.86398</v>
      </c>
      <c r="H228" s="1" t="s">
        <v>10</v>
      </c>
    </row>
    <row r="229" spans="1:8" x14ac:dyDescent="0.3">
      <c r="A229" s="1">
        <v>1995</v>
      </c>
      <c r="B229" s="1">
        <v>2</v>
      </c>
      <c r="C229" s="1">
        <v>15</v>
      </c>
      <c r="D229" s="6">
        <v>1995.123288</v>
      </c>
      <c r="E229" s="3">
        <v>357.61</v>
      </c>
      <c r="F229" s="3">
        <v>0.34289999999999998</v>
      </c>
      <c r="G229" s="3">
        <v>1.6349800000000001</v>
      </c>
      <c r="H229" s="1" t="s">
        <v>10</v>
      </c>
    </row>
    <row r="230" spans="1:8" x14ac:dyDescent="0.3">
      <c r="A230" s="1">
        <v>1995</v>
      </c>
      <c r="B230" s="1">
        <v>3</v>
      </c>
      <c r="C230" s="1">
        <v>15</v>
      </c>
      <c r="D230" s="6">
        <v>1995.2</v>
      </c>
      <c r="E230" s="3">
        <v>357.601</v>
      </c>
      <c r="F230" s="3">
        <v>0.17249999999999999</v>
      </c>
      <c r="G230" s="3">
        <v>1.59399</v>
      </c>
      <c r="H230" s="1" t="s">
        <v>10</v>
      </c>
    </row>
    <row r="231" spans="1:8" x14ac:dyDescent="0.3">
      <c r="A231" s="1">
        <v>1995</v>
      </c>
      <c r="B231" s="1">
        <v>4</v>
      </c>
      <c r="C231" s="1">
        <v>15</v>
      </c>
      <c r="D231" s="6">
        <v>1995.284932</v>
      </c>
      <c r="E231" s="3">
        <v>357.59699999999998</v>
      </c>
      <c r="F231" s="3">
        <v>0.14660000000000001</v>
      </c>
      <c r="G231" s="3">
        <v>1.6850000000000001</v>
      </c>
      <c r="H231" s="1" t="s">
        <v>10</v>
      </c>
    </row>
    <row r="232" spans="1:8" x14ac:dyDescent="0.3">
      <c r="A232" s="1">
        <v>1995</v>
      </c>
      <c r="B232" s="1">
        <v>5</v>
      </c>
      <c r="C232" s="1">
        <v>15</v>
      </c>
      <c r="D232" s="6">
        <v>1995.367123</v>
      </c>
      <c r="E232" s="3">
        <v>357.89600000000002</v>
      </c>
      <c r="F232" s="3">
        <v>0.1981</v>
      </c>
      <c r="G232" s="3">
        <v>1.8730199999999999</v>
      </c>
      <c r="H232" s="1" t="s">
        <v>10</v>
      </c>
    </row>
    <row r="233" spans="1:8" x14ac:dyDescent="0.3">
      <c r="A233" s="1">
        <v>1995</v>
      </c>
      <c r="B233" s="1">
        <v>6</v>
      </c>
      <c r="C233" s="1">
        <v>15</v>
      </c>
      <c r="D233" s="6">
        <v>1995.452055</v>
      </c>
      <c r="E233" s="3">
        <v>358.29199999999997</v>
      </c>
      <c r="F233" s="3">
        <v>0.17780000000000001</v>
      </c>
      <c r="G233" s="3">
        <v>2.1749900000000002</v>
      </c>
      <c r="H233" s="1" t="s">
        <v>10</v>
      </c>
    </row>
    <row r="234" spans="1:8" x14ac:dyDescent="0.3">
      <c r="A234" s="1">
        <v>1995</v>
      </c>
      <c r="B234" s="1">
        <v>7</v>
      </c>
      <c r="C234" s="1">
        <v>15</v>
      </c>
      <c r="D234" s="6">
        <v>1995.5342470000001</v>
      </c>
      <c r="E234" s="3">
        <v>358.58100000000002</v>
      </c>
      <c r="F234" s="3">
        <v>0.1729</v>
      </c>
      <c r="G234" s="3">
        <v>2.0049700000000001</v>
      </c>
      <c r="H234" s="1" t="s">
        <v>10</v>
      </c>
    </row>
    <row r="235" spans="1:8" x14ac:dyDescent="0.3">
      <c r="A235" s="1">
        <v>1995</v>
      </c>
      <c r="B235" s="1">
        <v>8</v>
      </c>
      <c r="C235" s="1">
        <v>15</v>
      </c>
      <c r="D235" s="6">
        <v>1995.6191779999999</v>
      </c>
      <c r="E235" s="3">
        <v>358.916</v>
      </c>
      <c r="F235" s="3">
        <v>0.17249999999999999</v>
      </c>
      <c r="G235" s="3">
        <v>1.58301</v>
      </c>
      <c r="H235" s="1" t="s">
        <v>10</v>
      </c>
    </row>
    <row r="236" spans="1:8" x14ac:dyDescent="0.3">
      <c r="A236" s="1">
        <v>1995</v>
      </c>
      <c r="B236" s="1">
        <v>9</v>
      </c>
      <c r="C236" s="1">
        <v>15</v>
      </c>
      <c r="D236" s="6">
        <v>1995.7041099999999</v>
      </c>
      <c r="E236" s="3">
        <v>359.19900000000001</v>
      </c>
      <c r="F236" s="3">
        <v>0.1862</v>
      </c>
      <c r="G236" s="3">
        <v>1.5860000000000001</v>
      </c>
      <c r="H236" s="1" t="s">
        <v>10</v>
      </c>
    </row>
    <row r="237" spans="1:8" x14ac:dyDescent="0.3">
      <c r="A237" s="1">
        <v>1995</v>
      </c>
      <c r="B237" s="1">
        <v>10</v>
      </c>
      <c r="C237" s="1">
        <v>15</v>
      </c>
      <c r="D237" s="6">
        <v>1995.7863010000001</v>
      </c>
      <c r="E237" s="3">
        <v>359.31</v>
      </c>
      <c r="F237" s="3">
        <v>0.21160000000000001</v>
      </c>
      <c r="G237" s="3">
        <v>1.6379999999999999</v>
      </c>
      <c r="H237" s="1" t="s">
        <v>10</v>
      </c>
    </row>
    <row r="238" spans="1:8" x14ac:dyDescent="0.3">
      <c r="A238" s="1">
        <v>1995</v>
      </c>
      <c r="B238" s="1">
        <v>11</v>
      </c>
      <c r="C238" s="1">
        <v>15</v>
      </c>
      <c r="D238" s="6">
        <v>1995.8712330000001</v>
      </c>
      <c r="E238" s="3">
        <v>359.38099999999997</v>
      </c>
      <c r="F238" s="3">
        <v>0.159</v>
      </c>
      <c r="G238" s="3">
        <v>1.526</v>
      </c>
      <c r="H238" s="1" t="s">
        <v>10</v>
      </c>
    </row>
    <row r="239" spans="1:8" x14ac:dyDescent="0.3">
      <c r="A239" s="1">
        <v>1995</v>
      </c>
      <c r="B239" s="1">
        <v>12</v>
      </c>
      <c r="C239" s="1">
        <v>15</v>
      </c>
      <c r="D239" s="6">
        <v>1995.9534249999999</v>
      </c>
      <c r="E239" s="3">
        <v>359.642</v>
      </c>
      <c r="F239" s="3">
        <v>0.18329999999999999</v>
      </c>
      <c r="G239" s="3">
        <v>1.621</v>
      </c>
      <c r="H239" s="1" t="s">
        <v>10</v>
      </c>
    </row>
    <row r="240" spans="1:8" x14ac:dyDescent="0.3">
      <c r="A240" s="1">
        <v>1996</v>
      </c>
      <c r="B240" s="1">
        <v>1</v>
      </c>
      <c r="C240" s="1">
        <v>15</v>
      </c>
      <c r="D240" s="6">
        <v>1996.0382509999999</v>
      </c>
      <c r="E240" s="3">
        <v>359.53699999999998</v>
      </c>
      <c r="F240" s="3">
        <v>0.20960000000000001</v>
      </c>
      <c r="G240" s="3">
        <v>1.758</v>
      </c>
      <c r="H240" s="1" t="s">
        <v>10</v>
      </c>
    </row>
    <row r="241" spans="1:8" x14ac:dyDescent="0.3">
      <c r="A241" s="1">
        <v>1996</v>
      </c>
      <c r="B241" s="1">
        <v>2</v>
      </c>
      <c r="C241" s="1">
        <v>15</v>
      </c>
      <c r="D241" s="6">
        <v>1996.1229510000001</v>
      </c>
      <c r="E241" s="3">
        <v>359.19299999999998</v>
      </c>
      <c r="F241" s="3">
        <v>0.1321</v>
      </c>
      <c r="G241" s="3">
        <v>1.7589999999999999</v>
      </c>
      <c r="H241" s="1" t="s">
        <v>10</v>
      </c>
    </row>
    <row r="242" spans="1:8" x14ac:dyDescent="0.3">
      <c r="A242" s="1">
        <v>1996</v>
      </c>
      <c r="B242" s="1">
        <v>3</v>
      </c>
      <c r="C242" s="1">
        <v>15</v>
      </c>
      <c r="D242" s="6">
        <v>1996.202186</v>
      </c>
      <c r="E242" s="3">
        <v>359.18700000000001</v>
      </c>
      <c r="F242" s="3">
        <v>0.28789999999999999</v>
      </c>
      <c r="G242" s="3">
        <v>1.6149899999999999</v>
      </c>
      <c r="H242" s="1" t="s">
        <v>10</v>
      </c>
    </row>
    <row r="243" spans="1:8" x14ac:dyDescent="0.3">
      <c r="A243" s="1">
        <v>1996</v>
      </c>
      <c r="B243" s="1">
        <v>4</v>
      </c>
      <c r="C243" s="1">
        <v>15</v>
      </c>
      <c r="D243" s="6">
        <v>1996.286885</v>
      </c>
      <c r="E243" s="3">
        <v>359.23500000000001</v>
      </c>
      <c r="F243" s="3">
        <v>0.17330000000000001</v>
      </c>
      <c r="G243" s="3">
        <v>1.375</v>
      </c>
      <c r="H243" s="1" t="s">
        <v>10</v>
      </c>
    </row>
    <row r="244" spans="1:8" x14ac:dyDescent="0.3">
      <c r="A244" s="1">
        <v>1996</v>
      </c>
      <c r="B244" s="1">
        <v>5</v>
      </c>
      <c r="C244" s="1">
        <v>15</v>
      </c>
      <c r="D244" s="6">
        <v>1996.3688520000001</v>
      </c>
      <c r="E244" s="3">
        <v>359.42200000000003</v>
      </c>
      <c r="F244" s="3">
        <v>0.1449</v>
      </c>
      <c r="G244" s="3">
        <v>1.1529799999999999</v>
      </c>
      <c r="H244" s="1" t="s">
        <v>10</v>
      </c>
    </row>
    <row r="245" spans="1:8" x14ac:dyDescent="0.3">
      <c r="A245" s="1">
        <v>1996</v>
      </c>
      <c r="B245" s="1">
        <v>6</v>
      </c>
      <c r="C245" s="1">
        <v>15</v>
      </c>
      <c r="D245" s="6">
        <v>1996.4535519999999</v>
      </c>
      <c r="E245" s="3">
        <v>359.91300000000001</v>
      </c>
      <c r="F245" s="3">
        <v>0.2359</v>
      </c>
      <c r="G245" s="3">
        <v>0.765015</v>
      </c>
      <c r="H245" s="1" t="s">
        <v>10</v>
      </c>
    </row>
    <row r="246" spans="1:8" x14ac:dyDescent="0.3">
      <c r="A246" s="1">
        <v>1996</v>
      </c>
      <c r="B246" s="1">
        <v>7</v>
      </c>
      <c r="C246" s="1">
        <v>15</v>
      </c>
      <c r="D246" s="6">
        <v>1996.535519</v>
      </c>
      <c r="E246" s="3">
        <v>360.339</v>
      </c>
      <c r="F246" s="3">
        <v>0.15279999999999999</v>
      </c>
      <c r="G246" s="3">
        <v>0.88800000000000001</v>
      </c>
      <c r="H246" s="1" t="s">
        <v>10</v>
      </c>
    </row>
    <row r="247" spans="1:8" x14ac:dyDescent="0.3">
      <c r="A247" s="1">
        <v>1996</v>
      </c>
      <c r="B247" s="1">
        <v>8</v>
      </c>
      <c r="C247" s="1">
        <v>15</v>
      </c>
      <c r="D247" s="6">
        <v>1996.6202189999999</v>
      </c>
      <c r="E247" s="3">
        <v>360.67500000000001</v>
      </c>
      <c r="F247" s="3">
        <v>0.18160000000000001</v>
      </c>
      <c r="G247" s="3">
        <v>1.353</v>
      </c>
      <c r="H247" s="1" t="s">
        <v>10</v>
      </c>
    </row>
    <row r="248" spans="1:8" x14ac:dyDescent="0.3">
      <c r="A248" s="1">
        <v>1996</v>
      </c>
      <c r="B248" s="1">
        <v>9</v>
      </c>
      <c r="C248" s="1">
        <v>15</v>
      </c>
      <c r="D248" s="6">
        <v>1996.7049179999999</v>
      </c>
      <c r="E248" s="3">
        <v>360.81400000000002</v>
      </c>
      <c r="F248" s="3">
        <v>0.15310000000000001</v>
      </c>
      <c r="G248" s="3">
        <v>1.4029799999999999</v>
      </c>
      <c r="H248" s="1" t="s">
        <v>10</v>
      </c>
    </row>
    <row r="249" spans="1:8" x14ac:dyDescent="0.3">
      <c r="A249" s="1">
        <v>1996</v>
      </c>
      <c r="B249" s="1">
        <v>10</v>
      </c>
      <c r="C249" s="1">
        <v>15</v>
      </c>
      <c r="D249" s="6">
        <v>1996.786885</v>
      </c>
      <c r="E249" s="3">
        <v>360.685</v>
      </c>
      <c r="F249" s="3">
        <v>0.15379999999999999</v>
      </c>
      <c r="G249" s="3">
        <v>1.4190100000000001</v>
      </c>
      <c r="H249" s="1" t="s">
        <v>10</v>
      </c>
    </row>
    <row r="250" spans="1:8" x14ac:dyDescent="0.3">
      <c r="A250" s="1">
        <v>1996</v>
      </c>
      <c r="B250" s="1">
        <v>11</v>
      </c>
      <c r="C250" s="1">
        <v>15</v>
      </c>
      <c r="D250" s="6">
        <v>1996.8715850000001</v>
      </c>
      <c r="E250" s="3">
        <v>360.53399999999999</v>
      </c>
      <c r="F250" s="3">
        <v>0.21099999999999999</v>
      </c>
      <c r="G250" s="3">
        <v>1.3959999999999999</v>
      </c>
      <c r="H250" s="1" t="s">
        <v>10</v>
      </c>
    </row>
    <row r="251" spans="1:8" x14ac:dyDescent="0.3">
      <c r="A251" s="1">
        <v>1996</v>
      </c>
      <c r="B251" s="1">
        <v>12</v>
      </c>
      <c r="C251" s="1">
        <v>15</v>
      </c>
      <c r="D251" s="6">
        <v>1996.9535519999999</v>
      </c>
      <c r="E251" s="3">
        <v>360.40699999999998</v>
      </c>
      <c r="F251" s="3">
        <v>0.15340000000000001</v>
      </c>
      <c r="G251" s="3">
        <v>1.1130100000000001</v>
      </c>
      <c r="H251" s="1" t="s">
        <v>10</v>
      </c>
    </row>
    <row r="252" spans="1:8" x14ac:dyDescent="0.3">
      <c r="A252" s="1">
        <v>1997</v>
      </c>
      <c r="B252" s="1">
        <v>1</v>
      </c>
      <c r="C252" s="1">
        <v>15</v>
      </c>
      <c r="D252" s="6">
        <v>1997.038356</v>
      </c>
      <c r="E252" s="3">
        <v>360.42500000000001</v>
      </c>
      <c r="F252" s="3">
        <v>0.20960000000000001</v>
      </c>
      <c r="G252" s="3">
        <v>1.0850200000000001</v>
      </c>
      <c r="H252" s="1" t="s">
        <v>10</v>
      </c>
    </row>
    <row r="253" spans="1:8" x14ac:dyDescent="0.3">
      <c r="A253" s="1">
        <v>1997</v>
      </c>
      <c r="B253" s="1">
        <v>2</v>
      </c>
      <c r="C253" s="1">
        <v>15</v>
      </c>
      <c r="D253" s="6">
        <v>1997.123288</v>
      </c>
      <c r="E253" s="3">
        <v>360.54599999999999</v>
      </c>
      <c r="F253" s="3">
        <v>0.25619999999999998</v>
      </c>
      <c r="G253" s="3">
        <v>1.2100200000000001</v>
      </c>
      <c r="H253" s="1" t="s">
        <v>10</v>
      </c>
    </row>
    <row r="254" spans="1:8" x14ac:dyDescent="0.3">
      <c r="A254" s="1">
        <v>1997</v>
      </c>
      <c r="B254" s="1">
        <v>3</v>
      </c>
      <c r="C254" s="1">
        <v>15</v>
      </c>
      <c r="D254" s="6">
        <v>1997.2</v>
      </c>
      <c r="E254" s="3">
        <v>360.59</v>
      </c>
      <c r="F254" s="3">
        <v>0.18360000000000001</v>
      </c>
      <c r="G254" s="3">
        <v>1.33301</v>
      </c>
      <c r="H254" s="1" t="s">
        <v>10</v>
      </c>
    </row>
    <row r="255" spans="1:8" x14ac:dyDescent="0.3">
      <c r="A255" s="1">
        <v>1997</v>
      </c>
      <c r="B255" s="1">
        <v>4</v>
      </c>
      <c r="C255" s="1">
        <v>15</v>
      </c>
      <c r="D255" s="6">
        <v>1997.284932</v>
      </c>
      <c r="E255" s="3">
        <v>360.654</v>
      </c>
      <c r="F255" s="3">
        <v>0.1605</v>
      </c>
      <c r="G255" s="3">
        <v>1.59799</v>
      </c>
      <c r="H255" s="1" t="s">
        <v>10</v>
      </c>
    </row>
    <row r="256" spans="1:8" x14ac:dyDescent="0.3">
      <c r="A256" s="1">
        <v>1997</v>
      </c>
      <c r="B256" s="1">
        <v>5</v>
      </c>
      <c r="C256" s="1">
        <v>15</v>
      </c>
      <c r="D256" s="6">
        <v>1997.367123</v>
      </c>
      <c r="E256" s="3">
        <v>360.81799999999998</v>
      </c>
      <c r="F256" s="3">
        <v>0.17979999999999999</v>
      </c>
      <c r="G256" s="3">
        <v>1.72299</v>
      </c>
      <c r="H256" s="1" t="s">
        <v>10</v>
      </c>
    </row>
    <row r="257" spans="1:8" x14ac:dyDescent="0.3">
      <c r="A257" s="1">
        <v>1997</v>
      </c>
      <c r="B257" s="1">
        <v>6</v>
      </c>
      <c r="C257" s="1">
        <v>15</v>
      </c>
      <c r="D257" s="6">
        <v>1997.452055</v>
      </c>
      <c r="E257" s="3">
        <v>361.02600000000001</v>
      </c>
      <c r="F257" s="3">
        <v>0.15</v>
      </c>
      <c r="G257" s="3">
        <v>1.7969999999999999</v>
      </c>
      <c r="H257" s="1" t="s">
        <v>10</v>
      </c>
    </row>
    <row r="258" spans="1:8" x14ac:dyDescent="0.3">
      <c r="A258" s="1">
        <v>1997</v>
      </c>
      <c r="B258" s="1">
        <v>7</v>
      </c>
      <c r="C258" s="1">
        <v>15</v>
      </c>
      <c r="D258" s="6">
        <v>1997.5342470000001</v>
      </c>
      <c r="E258" s="3">
        <v>361.42399999999998</v>
      </c>
      <c r="F258" s="3">
        <v>0.25180000000000002</v>
      </c>
      <c r="G258" s="3">
        <v>1.75702</v>
      </c>
      <c r="H258" s="1" t="s">
        <v>10</v>
      </c>
    </row>
    <row r="259" spans="1:8" x14ac:dyDescent="0.3">
      <c r="A259" s="1">
        <v>1997</v>
      </c>
      <c r="B259" s="1">
        <v>8</v>
      </c>
      <c r="C259" s="1">
        <v>15</v>
      </c>
      <c r="D259" s="6">
        <v>1997.6191779999999</v>
      </c>
      <c r="E259" s="3">
        <v>361.88499999999999</v>
      </c>
      <c r="F259" s="3">
        <v>0.17749999999999999</v>
      </c>
      <c r="G259" s="3">
        <v>1.7740199999999999</v>
      </c>
      <c r="H259" s="1" t="s">
        <v>10</v>
      </c>
    </row>
    <row r="260" spans="1:8" x14ac:dyDescent="0.3">
      <c r="A260" s="1">
        <v>1997</v>
      </c>
      <c r="B260" s="1">
        <v>9</v>
      </c>
      <c r="C260" s="1">
        <v>15</v>
      </c>
      <c r="D260" s="6">
        <v>1997.7041099999999</v>
      </c>
      <c r="E260" s="3">
        <v>362.14699999999999</v>
      </c>
      <c r="F260" s="3">
        <v>0.13980000000000001</v>
      </c>
      <c r="G260" s="3">
        <v>2.0270100000000002</v>
      </c>
      <c r="H260" s="1" t="s">
        <v>10</v>
      </c>
    </row>
    <row r="261" spans="1:8" x14ac:dyDescent="0.3">
      <c r="A261" s="1">
        <v>1997</v>
      </c>
      <c r="B261" s="1">
        <v>10</v>
      </c>
      <c r="C261" s="1">
        <v>15</v>
      </c>
      <c r="D261" s="6">
        <v>1997.7863010000001</v>
      </c>
      <c r="E261" s="3">
        <v>362.28300000000002</v>
      </c>
      <c r="F261" s="3">
        <v>0.20019999999999999</v>
      </c>
      <c r="G261" s="3">
        <v>2.2410000000000001</v>
      </c>
      <c r="H261" s="1" t="s">
        <v>10</v>
      </c>
    </row>
    <row r="262" spans="1:8" x14ac:dyDescent="0.3">
      <c r="A262" s="1">
        <v>1997</v>
      </c>
      <c r="B262" s="1">
        <v>11</v>
      </c>
      <c r="C262" s="1">
        <v>15</v>
      </c>
      <c r="D262" s="6">
        <v>1997.8712330000001</v>
      </c>
      <c r="E262" s="3">
        <v>362.25700000000001</v>
      </c>
      <c r="F262" s="3">
        <v>0.1804</v>
      </c>
      <c r="G262" s="3">
        <v>2.4410099999999999</v>
      </c>
      <c r="H262" s="1" t="s">
        <v>10</v>
      </c>
    </row>
    <row r="263" spans="1:8" x14ac:dyDescent="0.3">
      <c r="A263" s="1">
        <v>1997</v>
      </c>
      <c r="B263" s="1">
        <v>12</v>
      </c>
      <c r="C263" s="1">
        <v>15</v>
      </c>
      <c r="D263" s="6">
        <v>1997.9534249999999</v>
      </c>
      <c r="E263" s="3">
        <v>362.20400000000001</v>
      </c>
      <c r="F263" s="3">
        <v>0.1575</v>
      </c>
      <c r="G263" s="3">
        <v>2.6570100000000001</v>
      </c>
      <c r="H263" s="1" t="s">
        <v>10</v>
      </c>
    </row>
    <row r="264" spans="1:8" x14ac:dyDescent="0.3">
      <c r="A264" s="1">
        <v>1998</v>
      </c>
      <c r="B264" s="1">
        <v>1</v>
      </c>
      <c r="C264" s="1">
        <v>15</v>
      </c>
      <c r="D264" s="6">
        <v>1998.038356</v>
      </c>
      <c r="E264" s="3">
        <v>362.18200000000002</v>
      </c>
      <c r="F264" s="3">
        <v>0.19009999999999999</v>
      </c>
      <c r="G264" s="3">
        <v>2.77399</v>
      </c>
      <c r="H264" s="1" t="s">
        <v>10</v>
      </c>
    </row>
    <row r="265" spans="1:8" x14ac:dyDescent="0.3">
      <c r="A265" s="1">
        <v>1998</v>
      </c>
      <c r="B265" s="1">
        <v>2</v>
      </c>
      <c r="C265" s="1">
        <v>15</v>
      </c>
      <c r="D265" s="6">
        <v>1998.123288</v>
      </c>
      <c r="E265" s="3">
        <v>362.32</v>
      </c>
      <c r="F265" s="3">
        <v>0.1744</v>
      </c>
      <c r="G265" s="3">
        <v>2.931</v>
      </c>
      <c r="H265" s="1" t="s">
        <v>10</v>
      </c>
    </row>
    <row r="266" spans="1:8" x14ac:dyDescent="0.3">
      <c r="A266" s="1">
        <v>1998</v>
      </c>
      <c r="B266" s="1">
        <v>3</v>
      </c>
      <c r="C266" s="1">
        <v>15</v>
      </c>
      <c r="D266" s="6">
        <v>1998.2</v>
      </c>
      <c r="E266" s="3">
        <v>362.61700000000002</v>
      </c>
      <c r="F266" s="3">
        <v>0.1651</v>
      </c>
      <c r="G266" s="3">
        <v>3.0400100000000001</v>
      </c>
      <c r="H266" s="1" t="s">
        <v>10</v>
      </c>
    </row>
    <row r="267" spans="1:8" x14ac:dyDescent="0.3">
      <c r="A267" s="1">
        <v>1998</v>
      </c>
      <c r="B267" s="1">
        <v>4</v>
      </c>
      <c r="C267" s="1">
        <v>15</v>
      </c>
      <c r="D267" s="6">
        <v>1998.284932</v>
      </c>
      <c r="E267" s="3">
        <v>362.89499999999998</v>
      </c>
      <c r="F267" s="3">
        <v>0.1245</v>
      </c>
      <c r="G267" s="3">
        <v>2.9210199999999999</v>
      </c>
      <c r="H267" s="1" t="s">
        <v>10</v>
      </c>
    </row>
    <row r="268" spans="1:8" x14ac:dyDescent="0.3">
      <c r="A268" s="1">
        <v>1998</v>
      </c>
      <c r="B268" s="1">
        <v>5</v>
      </c>
      <c r="C268" s="1">
        <v>15</v>
      </c>
      <c r="D268" s="6">
        <v>1998.367123</v>
      </c>
      <c r="E268" s="3">
        <v>363.25900000000001</v>
      </c>
      <c r="F268" s="3">
        <v>0.21240000000000001</v>
      </c>
      <c r="G268" s="3">
        <v>2.8170199999999999</v>
      </c>
      <c r="H268" s="1" t="s">
        <v>10</v>
      </c>
    </row>
    <row r="269" spans="1:8" x14ac:dyDescent="0.3">
      <c r="A269" s="1">
        <v>1998</v>
      </c>
      <c r="B269" s="1">
        <v>6</v>
      </c>
      <c r="C269" s="1">
        <v>15</v>
      </c>
      <c r="D269" s="6">
        <v>1998.452055</v>
      </c>
      <c r="E269" s="3">
        <v>363.68299999999999</v>
      </c>
      <c r="F269" s="3">
        <v>0.1789</v>
      </c>
      <c r="G269" s="3">
        <v>2.7869899999999999</v>
      </c>
      <c r="H269" s="1" t="s">
        <v>10</v>
      </c>
    </row>
    <row r="270" spans="1:8" x14ac:dyDescent="0.3">
      <c r="A270" s="1">
        <v>1998</v>
      </c>
      <c r="B270" s="1">
        <v>7</v>
      </c>
      <c r="C270" s="1">
        <v>15</v>
      </c>
      <c r="D270" s="6">
        <v>1998.5342470000001</v>
      </c>
      <c r="E270" s="3">
        <v>364.19799999999998</v>
      </c>
      <c r="F270" s="3">
        <v>0.1961</v>
      </c>
      <c r="G270" s="3">
        <v>2.944</v>
      </c>
      <c r="H270" s="1" t="s">
        <v>10</v>
      </c>
    </row>
    <row r="271" spans="1:8" x14ac:dyDescent="0.3">
      <c r="A271" s="1">
        <v>1998</v>
      </c>
      <c r="B271" s="1">
        <v>8</v>
      </c>
      <c r="C271" s="1">
        <v>15</v>
      </c>
      <c r="D271" s="6">
        <v>1998.6191779999999</v>
      </c>
      <c r="E271" s="3">
        <v>364.81599999999997</v>
      </c>
      <c r="F271" s="3">
        <v>0.17760000000000001</v>
      </c>
      <c r="G271" s="3">
        <v>2.8569900000000001</v>
      </c>
      <c r="H271" s="1" t="s">
        <v>10</v>
      </c>
    </row>
    <row r="272" spans="1:8" x14ac:dyDescent="0.3">
      <c r="A272" s="1">
        <v>1998</v>
      </c>
      <c r="B272" s="1">
        <v>9</v>
      </c>
      <c r="C272" s="1">
        <v>15</v>
      </c>
      <c r="D272" s="6">
        <v>1998.7041099999999</v>
      </c>
      <c r="E272" s="3">
        <v>365.18700000000001</v>
      </c>
      <c r="F272" s="3">
        <v>0.1993</v>
      </c>
      <c r="G272" s="3">
        <v>2.375</v>
      </c>
      <c r="H272" s="1" t="s">
        <v>10</v>
      </c>
    </row>
    <row r="273" spans="1:8" x14ac:dyDescent="0.3">
      <c r="A273" s="1">
        <v>1998</v>
      </c>
      <c r="B273" s="1">
        <v>10</v>
      </c>
      <c r="C273" s="1">
        <v>15</v>
      </c>
      <c r="D273" s="6">
        <v>1998.7863010000001</v>
      </c>
      <c r="E273" s="3">
        <v>365.20400000000001</v>
      </c>
      <c r="F273" s="3">
        <v>0.16569999999999999</v>
      </c>
      <c r="G273" s="3">
        <v>2.1549999999999998</v>
      </c>
      <c r="H273" s="1" t="s">
        <v>10</v>
      </c>
    </row>
    <row r="274" spans="1:8" x14ac:dyDescent="0.3">
      <c r="A274" s="1">
        <v>1998</v>
      </c>
      <c r="B274" s="1">
        <v>11</v>
      </c>
      <c r="C274" s="1">
        <v>15</v>
      </c>
      <c r="D274" s="6">
        <v>1998.8712330000001</v>
      </c>
      <c r="E274" s="3">
        <v>365.07400000000001</v>
      </c>
      <c r="F274" s="3">
        <v>0.16320000000000001</v>
      </c>
      <c r="G274" s="3">
        <v>2.0270100000000002</v>
      </c>
      <c r="H274" s="1" t="s">
        <v>10</v>
      </c>
    </row>
    <row r="275" spans="1:8" x14ac:dyDescent="0.3">
      <c r="A275" s="1">
        <v>1998</v>
      </c>
      <c r="B275" s="1">
        <v>12</v>
      </c>
      <c r="C275" s="1">
        <v>15</v>
      </c>
      <c r="D275" s="6">
        <v>1998.9534249999999</v>
      </c>
      <c r="E275" s="3">
        <v>364.99099999999999</v>
      </c>
      <c r="F275" s="3">
        <v>8.0500000000000002E-2</v>
      </c>
      <c r="G275" s="3">
        <v>1.7549699999999999</v>
      </c>
      <c r="H275" s="1" t="s">
        <v>10</v>
      </c>
    </row>
    <row r="276" spans="1:8" x14ac:dyDescent="0.3">
      <c r="A276" s="1">
        <v>1999</v>
      </c>
      <c r="B276" s="1">
        <v>1</v>
      </c>
      <c r="C276" s="1">
        <v>15</v>
      </c>
      <c r="D276" s="6">
        <v>1999.038356</v>
      </c>
      <c r="E276" s="3">
        <v>365.12599999999998</v>
      </c>
      <c r="F276" s="3">
        <v>0.2079</v>
      </c>
      <c r="G276" s="3">
        <v>1.5280199999999999</v>
      </c>
      <c r="H276" s="1" t="s">
        <v>10</v>
      </c>
    </row>
    <row r="277" spans="1:8" x14ac:dyDescent="0.3">
      <c r="A277" s="1">
        <v>1999</v>
      </c>
      <c r="B277" s="1">
        <v>2</v>
      </c>
      <c r="C277" s="1">
        <v>15</v>
      </c>
      <c r="D277" s="6">
        <v>1999.123288</v>
      </c>
      <c r="E277" s="3">
        <v>365.17700000000002</v>
      </c>
      <c r="F277" s="3">
        <v>0.17050000000000001</v>
      </c>
      <c r="G277" s="3">
        <v>1.34598</v>
      </c>
      <c r="H277" s="1" t="s">
        <v>10</v>
      </c>
    </row>
    <row r="278" spans="1:8" x14ac:dyDescent="0.3">
      <c r="A278" s="1">
        <v>1999</v>
      </c>
      <c r="B278" s="1">
        <v>3</v>
      </c>
      <c r="C278" s="1">
        <v>15</v>
      </c>
      <c r="D278" s="6">
        <v>1999.2</v>
      </c>
      <c r="E278" s="3">
        <v>364.99200000000002</v>
      </c>
      <c r="F278" s="3">
        <v>0.17069999999999999</v>
      </c>
      <c r="G278" s="3">
        <v>1.3339799999999999</v>
      </c>
      <c r="H278" s="1" t="s">
        <v>10</v>
      </c>
    </row>
    <row r="279" spans="1:8" x14ac:dyDescent="0.3">
      <c r="A279" s="1">
        <v>1999</v>
      </c>
      <c r="B279" s="1">
        <v>4</v>
      </c>
      <c r="C279" s="1">
        <v>15</v>
      </c>
      <c r="D279" s="6">
        <v>1999.284932</v>
      </c>
      <c r="E279" s="3">
        <v>365.05</v>
      </c>
      <c r="F279" s="3">
        <v>0.1696</v>
      </c>
      <c r="G279" s="3">
        <v>1.4679899999999999</v>
      </c>
      <c r="H279" s="1" t="s">
        <v>10</v>
      </c>
    </row>
    <row r="280" spans="1:8" x14ac:dyDescent="0.3">
      <c r="A280" s="1">
        <v>1999</v>
      </c>
      <c r="B280" s="1">
        <v>5</v>
      </c>
      <c r="C280" s="1">
        <v>15</v>
      </c>
      <c r="D280" s="6">
        <v>1999.367123</v>
      </c>
      <c r="E280" s="3">
        <v>365.286</v>
      </c>
      <c r="F280" s="3">
        <v>0.16220000000000001</v>
      </c>
      <c r="G280" s="3">
        <v>1.5359799999999999</v>
      </c>
      <c r="H280" s="1" t="s">
        <v>10</v>
      </c>
    </row>
    <row r="281" spans="1:8" x14ac:dyDescent="0.3">
      <c r="A281" s="1">
        <v>1999</v>
      </c>
      <c r="B281" s="1">
        <v>6</v>
      </c>
      <c r="C281" s="1">
        <v>15</v>
      </c>
      <c r="D281" s="6">
        <v>1999.452055</v>
      </c>
      <c r="E281" s="3">
        <v>365.43799999999999</v>
      </c>
      <c r="F281" s="3">
        <v>0.2414</v>
      </c>
      <c r="G281" s="3">
        <v>1.6270100000000001</v>
      </c>
      <c r="H281" s="1" t="s">
        <v>10</v>
      </c>
    </row>
    <row r="282" spans="1:8" x14ac:dyDescent="0.3">
      <c r="A282" s="1">
        <v>1999</v>
      </c>
      <c r="B282" s="1">
        <v>7</v>
      </c>
      <c r="C282" s="1">
        <v>15</v>
      </c>
      <c r="D282" s="6">
        <v>1999.5342470000001</v>
      </c>
      <c r="E282" s="3">
        <v>365.726</v>
      </c>
      <c r="F282" s="3">
        <v>0.24049999999999999</v>
      </c>
      <c r="G282" s="3">
        <v>1.5389999999999999</v>
      </c>
      <c r="H282" s="1" t="s">
        <v>10</v>
      </c>
    </row>
    <row r="283" spans="1:8" x14ac:dyDescent="0.3">
      <c r="A283" s="1">
        <v>1999</v>
      </c>
      <c r="B283" s="1">
        <v>8</v>
      </c>
      <c r="C283" s="1">
        <v>15</v>
      </c>
      <c r="D283" s="6">
        <v>1999.6191779999999</v>
      </c>
      <c r="E283" s="3">
        <v>366.16199999999998</v>
      </c>
      <c r="F283" s="3">
        <v>0.21609999999999999</v>
      </c>
      <c r="G283" s="3">
        <v>1.2909900000000001</v>
      </c>
      <c r="H283" s="1" t="s">
        <v>10</v>
      </c>
    </row>
    <row r="284" spans="1:8" x14ac:dyDescent="0.3">
      <c r="A284" s="1">
        <v>1999</v>
      </c>
      <c r="B284" s="1">
        <v>9</v>
      </c>
      <c r="C284" s="1">
        <v>15</v>
      </c>
      <c r="D284" s="6">
        <v>1999.7041099999999</v>
      </c>
      <c r="E284" s="3">
        <v>366.52100000000002</v>
      </c>
      <c r="F284" s="3">
        <v>0.14219999999999999</v>
      </c>
      <c r="G284" s="3">
        <v>1.2450000000000001</v>
      </c>
      <c r="H284" s="1" t="s">
        <v>10</v>
      </c>
    </row>
    <row r="285" spans="1:8" x14ac:dyDescent="0.3">
      <c r="A285" s="1">
        <v>1999</v>
      </c>
      <c r="B285" s="1">
        <v>10</v>
      </c>
      <c r="C285" s="1">
        <v>15</v>
      </c>
      <c r="D285" s="6">
        <v>1999.7863010000001</v>
      </c>
      <c r="E285" s="3">
        <v>366.67200000000003</v>
      </c>
      <c r="F285" s="3">
        <v>0.29310000000000003</v>
      </c>
      <c r="G285" s="3">
        <v>1.121</v>
      </c>
      <c r="H285" s="1" t="s">
        <v>10</v>
      </c>
    </row>
    <row r="286" spans="1:8" x14ac:dyDescent="0.3">
      <c r="A286" s="1">
        <v>1999</v>
      </c>
      <c r="B286" s="1">
        <v>11</v>
      </c>
      <c r="C286" s="1">
        <v>15</v>
      </c>
      <c r="D286" s="6">
        <v>1999.8712330000001</v>
      </c>
      <c r="E286" s="3">
        <v>366.61</v>
      </c>
      <c r="F286" s="3">
        <v>0.1822</v>
      </c>
      <c r="G286" s="3">
        <v>1.103</v>
      </c>
      <c r="H286" s="1" t="s">
        <v>10</v>
      </c>
    </row>
    <row r="287" spans="1:8" x14ac:dyDescent="0.3">
      <c r="A287" s="1">
        <v>1999</v>
      </c>
      <c r="B287" s="1">
        <v>12</v>
      </c>
      <c r="C287" s="1">
        <v>15</v>
      </c>
      <c r="D287" s="6">
        <v>1999.9534249999999</v>
      </c>
      <c r="E287" s="3">
        <v>366.61799999999999</v>
      </c>
      <c r="F287" s="3">
        <v>0.124</v>
      </c>
      <c r="G287" s="3">
        <v>1.40002</v>
      </c>
      <c r="H287" s="1" t="s">
        <v>10</v>
      </c>
    </row>
    <row r="288" spans="1:8" x14ac:dyDescent="0.3">
      <c r="A288" s="1">
        <v>2000</v>
      </c>
      <c r="B288" s="1">
        <v>1</v>
      </c>
      <c r="C288" s="1">
        <v>15</v>
      </c>
      <c r="D288" s="6">
        <v>2000.0382509999999</v>
      </c>
      <c r="E288" s="3">
        <v>366.66500000000002</v>
      </c>
      <c r="F288" s="3">
        <v>0.17899999999999999</v>
      </c>
      <c r="G288" s="3">
        <v>1.5169999999999999</v>
      </c>
      <c r="H288" s="1" t="s">
        <v>10</v>
      </c>
    </row>
    <row r="289" spans="1:8" x14ac:dyDescent="0.3">
      <c r="A289" s="1">
        <v>2000</v>
      </c>
      <c r="B289" s="1">
        <v>2</v>
      </c>
      <c r="C289" s="1">
        <v>15</v>
      </c>
      <c r="D289" s="6">
        <v>2000.1229510000001</v>
      </c>
      <c r="E289" s="3">
        <v>366.46800000000002</v>
      </c>
      <c r="F289" s="3">
        <v>0.30509999999999998</v>
      </c>
      <c r="G289" s="3">
        <v>1.3240099999999999</v>
      </c>
      <c r="H289" s="1" t="s">
        <v>10</v>
      </c>
    </row>
    <row r="290" spans="1:8" x14ac:dyDescent="0.3">
      <c r="A290" s="1">
        <v>2000</v>
      </c>
      <c r="B290" s="1">
        <v>3</v>
      </c>
      <c r="C290" s="1">
        <v>15</v>
      </c>
      <c r="D290" s="6">
        <v>2000.202186</v>
      </c>
      <c r="E290" s="3">
        <v>366.23700000000002</v>
      </c>
      <c r="F290" s="3">
        <v>0.2026</v>
      </c>
      <c r="G290" s="3">
        <v>1.1839900000000001</v>
      </c>
      <c r="H290" s="1" t="s">
        <v>10</v>
      </c>
    </row>
    <row r="291" spans="1:8" x14ac:dyDescent="0.3">
      <c r="A291" s="1">
        <v>2000</v>
      </c>
      <c r="B291" s="1">
        <v>4</v>
      </c>
      <c r="C291" s="1">
        <v>15</v>
      </c>
      <c r="D291" s="6">
        <v>2000.286885</v>
      </c>
      <c r="E291" s="3">
        <v>366.17099999999999</v>
      </c>
      <c r="F291" s="3">
        <v>0.2235</v>
      </c>
      <c r="G291" s="3">
        <v>1.155</v>
      </c>
      <c r="H291" s="1" t="s">
        <v>10</v>
      </c>
    </row>
    <row r="292" spans="1:8" x14ac:dyDescent="0.3">
      <c r="A292" s="1">
        <v>2000</v>
      </c>
      <c r="B292" s="1">
        <v>5</v>
      </c>
      <c r="C292" s="1">
        <v>15</v>
      </c>
      <c r="D292" s="6">
        <v>2000.3688520000001</v>
      </c>
      <c r="E292" s="3">
        <v>366.38900000000001</v>
      </c>
      <c r="F292" s="3">
        <v>0.18260000000000001</v>
      </c>
      <c r="G292" s="3">
        <v>1.1460300000000001</v>
      </c>
      <c r="H292" s="1" t="s">
        <v>10</v>
      </c>
    </row>
    <row r="293" spans="1:8" x14ac:dyDescent="0.3">
      <c r="A293" s="1">
        <v>2000</v>
      </c>
      <c r="B293" s="1">
        <v>6</v>
      </c>
      <c r="C293" s="1">
        <v>15</v>
      </c>
      <c r="D293" s="6">
        <v>2000.4535519999999</v>
      </c>
      <c r="E293" s="3">
        <v>366.83800000000002</v>
      </c>
      <c r="F293" s="3">
        <v>0.15529999999999999</v>
      </c>
      <c r="G293" s="3">
        <v>1.04498</v>
      </c>
      <c r="H293" s="1" t="s">
        <v>10</v>
      </c>
    </row>
    <row r="294" spans="1:8" x14ac:dyDescent="0.3">
      <c r="A294" s="1">
        <v>2000</v>
      </c>
      <c r="B294" s="1">
        <v>7</v>
      </c>
      <c r="C294" s="1">
        <v>15</v>
      </c>
      <c r="D294" s="6">
        <v>2000.535519</v>
      </c>
      <c r="E294" s="3">
        <v>367.24299999999999</v>
      </c>
      <c r="F294" s="3">
        <v>0.16070000000000001</v>
      </c>
      <c r="G294" s="3">
        <v>0.94097900000000001</v>
      </c>
      <c r="H294" s="1" t="s">
        <v>10</v>
      </c>
    </row>
    <row r="295" spans="1:8" x14ac:dyDescent="0.3">
      <c r="A295" s="1">
        <v>2000</v>
      </c>
      <c r="B295" s="1">
        <v>8</v>
      </c>
      <c r="C295" s="1">
        <v>15</v>
      </c>
      <c r="D295" s="6">
        <v>2000.6202189999999</v>
      </c>
      <c r="E295" s="3">
        <v>367.48599999999999</v>
      </c>
      <c r="F295" s="3">
        <v>0.18990000000000001</v>
      </c>
      <c r="G295" s="3">
        <v>1.07901</v>
      </c>
      <c r="H295" s="1" t="s">
        <v>10</v>
      </c>
    </row>
    <row r="296" spans="1:8" x14ac:dyDescent="0.3">
      <c r="A296" s="1">
        <v>2000</v>
      </c>
      <c r="B296" s="1">
        <v>9</v>
      </c>
      <c r="C296" s="1">
        <v>15</v>
      </c>
      <c r="D296" s="6">
        <v>2000.7049179999999</v>
      </c>
      <c r="E296" s="3">
        <v>367.70499999999998</v>
      </c>
      <c r="F296" s="3">
        <v>0.20680000000000001</v>
      </c>
      <c r="G296" s="3">
        <v>1.29901</v>
      </c>
      <c r="H296" s="1" t="s">
        <v>10</v>
      </c>
    </row>
    <row r="297" spans="1:8" x14ac:dyDescent="0.3">
      <c r="A297" s="1">
        <v>2000</v>
      </c>
      <c r="B297" s="1">
        <v>10</v>
      </c>
      <c r="C297" s="1">
        <v>15</v>
      </c>
      <c r="D297" s="6">
        <v>2000.786885</v>
      </c>
      <c r="E297" s="3">
        <v>367.827</v>
      </c>
      <c r="F297" s="3">
        <v>7.2599999999999998E-2</v>
      </c>
      <c r="G297" s="3">
        <v>1.53101</v>
      </c>
      <c r="H297" s="1" t="s">
        <v>10</v>
      </c>
    </row>
    <row r="298" spans="1:8" x14ac:dyDescent="0.3">
      <c r="A298" s="1">
        <v>2000</v>
      </c>
      <c r="B298" s="1">
        <v>11</v>
      </c>
      <c r="C298" s="1">
        <v>15</v>
      </c>
      <c r="D298" s="6">
        <v>2000.8715850000001</v>
      </c>
      <c r="E298" s="3">
        <v>367.75599999999997</v>
      </c>
      <c r="F298" s="3">
        <v>5.21E-2</v>
      </c>
      <c r="G298" s="3">
        <v>1.54199</v>
      </c>
      <c r="H298" s="1" t="s">
        <v>10</v>
      </c>
    </row>
    <row r="299" spans="1:8" x14ac:dyDescent="0.3">
      <c r="A299" s="1">
        <v>2000</v>
      </c>
      <c r="B299" s="1">
        <v>12</v>
      </c>
      <c r="C299" s="1">
        <v>15</v>
      </c>
      <c r="D299" s="6">
        <v>2000.9535519999999</v>
      </c>
      <c r="E299" s="3">
        <v>367.66300000000001</v>
      </c>
      <c r="F299" s="3">
        <v>0.13420000000000001</v>
      </c>
      <c r="G299" s="3">
        <v>1.3369800000000001</v>
      </c>
      <c r="H299" s="1" t="s">
        <v>10</v>
      </c>
    </row>
    <row r="300" spans="1:8" x14ac:dyDescent="0.3">
      <c r="A300" s="1">
        <v>2001</v>
      </c>
      <c r="B300" s="1">
        <v>1</v>
      </c>
      <c r="C300" s="1">
        <v>15</v>
      </c>
      <c r="D300" s="6">
        <v>2001.038356</v>
      </c>
      <c r="E300" s="3">
        <v>367.60599999999999</v>
      </c>
      <c r="F300" s="3">
        <v>0.14480000000000001</v>
      </c>
      <c r="G300" s="3">
        <v>1.34399</v>
      </c>
      <c r="H300" s="1" t="s">
        <v>10</v>
      </c>
    </row>
    <row r="301" spans="1:8" x14ac:dyDescent="0.3">
      <c r="A301" s="1">
        <v>2001</v>
      </c>
      <c r="B301" s="1">
        <v>2</v>
      </c>
      <c r="C301" s="1">
        <v>15</v>
      </c>
      <c r="D301" s="6">
        <v>2001.123288</v>
      </c>
      <c r="E301" s="3">
        <v>367.54700000000003</v>
      </c>
      <c r="F301" s="3">
        <v>3.7600000000000001E-2</v>
      </c>
      <c r="G301" s="3">
        <v>1.64801</v>
      </c>
      <c r="H301" s="1" t="s">
        <v>10</v>
      </c>
    </row>
    <row r="302" spans="1:8" x14ac:dyDescent="0.3">
      <c r="A302" s="1">
        <v>2001</v>
      </c>
      <c r="B302" s="1">
        <v>3</v>
      </c>
      <c r="C302" s="1">
        <v>15</v>
      </c>
      <c r="D302" s="6">
        <v>2001.2</v>
      </c>
      <c r="E302" s="3">
        <v>367.536</v>
      </c>
      <c r="F302" s="3">
        <v>0.13880000000000001</v>
      </c>
      <c r="G302" s="3">
        <v>1.92502</v>
      </c>
      <c r="H302" s="1" t="s">
        <v>10</v>
      </c>
    </row>
    <row r="303" spans="1:8" x14ac:dyDescent="0.3">
      <c r="A303" s="1">
        <v>2001</v>
      </c>
      <c r="B303" s="1">
        <v>4</v>
      </c>
      <c r="C303" s="1">
        <v>15</v>
      </c>
      <c r="D303" s="6">
        <v>2001.284932</v>
      </c>
      <c r="E303" s="3">
        <v>367.702</v>
      </c>
      <c r="F303" s="3">
        <v>0.17860000000000001</v>
      </c>
      <c r="G303" s="3">
        <v>1.9330099999999999</v>
      </c>
      <c r="H303" s="1" t="s">
        <v>10</v>
      </c>
    </row>
    <row r="304" spans="1:8" x14ac:dyDescent="0.3">
      <c r="A304" s="1">
        <v>2001</v>
      </c>
      <c r="B304" s="1">
        <v>5</v>
      </c>
      <c r="C304" s="1">
        <v>15</v>
      </c>
      <c r="D304" s="6">
        <v>2001.367123</v>
      </c>
      <c r="E304" s="3">
        <v>367.93099999999998</v>
      </c>
      <c r="F304" s="3">
        <v>0.1938</v>
      </c>
      <c r="G304" s="3">
        <v>1.80298</v>
      </c>
      <c r="H304" s="1" t="s">
        <v>10</v>
      </c>
    </row>
    <row r="305" spans="1:8" x14ac:dyDescent="0.3">
      <c r="A305" s="1">
        <v>2001</v>
      </c>
      <c r="B305" s="1">
        <v>6</v>
      </c>
      <c r="C305" s="1">
        <v>15</v>
      </c>
      <c r="D305" s="6">
        <v>2001.452055</v>
      </c>
      <c r="E305" s="3">
        <v>368.17500000000001</v>
      </c>
      <c r="F305" s="3">
        <v>0.22489999999999999</v>
      </c>
      <c r="G305" s="3">
        <v>1.74899</v>
      </c>
      <c r="H305" s="1" t="s">
        <v>10</v>
      </c>
    </row>
    <row r="306" spans="1:8" x14ac:dyDescent="0.3">
      <c r="A306" s="1">
        <v>2001</v>
      </c>
      <c r="B306" s="1">
        <v>7</v>
      </c>
      <c r="C306" s="1">
        <v>15</v>
      </c>
      <c r="D306" s="6">
        <v>2001.5342470000001</v>
      </c>
      <c r="E306" s="3">
        <v>368.58699999999999</v>
      </c>
      <c r="F306" s="3">
        <v>0.17050000000000001</v>
      </c>
      <c r="G306" s="3">
        <v>1.875</v>
      </c>
      <c r="H306" s="1" t="s">
        <v>10</v>
      </c>
    </row>
    <row r="307" spans="1:8" x14ac:dyDescent="0.3">
      <c r="A307" s="1">
        <v>2001</v>
      </c>
      <c r="B307" s="1">
        <v>8</v>
      </c>
      <c r="C307" s="1">
        <v>15</v>
      </c>
      <c r="D307" s="6">
        <v>2001.6191779999999</v>
      </c>
      <c r="E307" s="3">
        <v>369.13400000000001</v>
      </c>
      <c r="F307" s="3">
        <v>0.26519999999999999</v>
      </c>
      <c r="G307" s="3">
        <v>1.99701</v>
      </c>
      <c r="H307" s="1" t="s">
        <v>10</v>
      </c>
    </row>
    <row r="308" spans="1:8" x14ac:dyDescent="0.3">
      <c r="A308" s="1">
        <v>2001</v>
      </c>
      <c r="B308" s="1">
        <v>9</v>
      </c>
      <c r="C308" s="1">
        <v>15</v>
      </c>
      <c r="D308" s="6">
        <v>2001.7041099999999</v>
      </c>
      <c r="E308" s="3">
        <v>369.63</v>
      </c>
      <c r="F308" s="3">
        <v>0.25090000000000001</v>
      </c>
      <c r="G308" s="3">
        <v>2.0640000000000001</v>
      </c>
      <c r="H308" s="1" t="s">
        <v>10</v>
      </c>
    </row>
    <row r="309" spans="1:8" x14ac:dyDescent="0.3">
      <c r="A309" s="1">
        <v>2001</v>
      </c>
      <c r="B309" s="1">
        <v>10</v>
      </c>
      <c r="C309" s="1">
        <v>15</v>
      </c>
      <c r="D309" s="6">
        <v>2001.7863010000001</v>
      </c>
      <c r="E309" s="3">
        <v>369.76</v>
      </c>
      <c r="F309" s="3">
        <v>0.20519999999999999</v>
      </c>
      <c r="G309" s="3">
        <v>2.0620099999999999</v>
      </c>
      <c r="H309" s="1" t="s">
        <v>10</v>
      </c>
    </row>
    <row r="310" spans="1:8" x14ac:dyDescent="0.3">
      <c r="A310" s="1">
        <v>2001</v>
      </c>
      <c r="B310" s="1">
        <v>11</v>
      </c>
      <c r="C310" s="1">
        <v>15</v>
      </c>
      <c r="D310" s="6">
        <v>2001.8712330000001</v>
      </c>
      <c r="E310" s="3">
        <v>369.55900000000003</v>
      </c>
      <c r="F310" s="3">
        <v>0.2369</v>
      </c>
      <c r="G310" s="3">
        <v>2.0809899999999999</v>
      </c>
      <c r="H310" s="1" t="s">
        <v>10</v>
      </c>
    </row>
    <row r="311" spans="1:8" x14ac:dyDescent="0.3">
      <c r="A311" s="1">
        <v>2001</v>
      </c>
      <c r="B311" s="1">
        <v>12</v>
      </c>
      <c r="C311" s="1">
        <v>15</v>
      </c>
      <c r="D311" s="6">
        <v>2001.9534249999999</v>
      </c>
      <c r="E311" s="3">
        <v>369.41199999999998</v>
      </c>
      <c r="F311" s="3">
        <v>0.2041</v>
      </c>
      <c r="G311" s="3">
        <v>2.3010299999999999</v>
      </c>
      <c r="H311" s="1" t="s">
        <v>10</v>
      </c>
    </row>
    <row r="312" spans="1:8" x14ac:dyDescent="0.3">
      <c r="A312" s="1">
        <v>2002</v>
      </c>
      <c r="B312" s="1">
        <v>1</v>
      </c>
      <c r="C312" s="1">
        <v>15</v>
      </c>
      <c r="D312" s="6">
        <v>2002.038356</v>
      </c>
      <c r="E312" s="3">
        <v>369.48099999999999</v>
      </c>
      <c r="F312" s="3">
        <v>0.22919999999999999</v>
      </c>
      <c r="G312" s="3">
        <v>2.4620099999999998</v>
      </c>
      <c r="H312" s="1" t="s">
        <v>10</v>
      </c>
    </row>
    <row r="313" spans="1:8" x14ac:dyDescent="0.3">
      <c r="A313" s="1">
        <v>2002</v>
      </c>
      <c r="B313" s="1">
        <v>2</v>
      </c>
      <c r="C313" s="1">
        <v>15</v>
      </c>
      <c r="D313" s="6">
        <v>2002.123288</v>
      </c>
      <c r="E313" s="3">
        <v>369.54399999999998</v>
      </c>
      <c r="F313" s="3">
        <v>0.16600000000000001</v>
      </c>
      <c r="G313" s="3">
        <v>2.4049999999999998</v>
      </c>
      <c r="H313" s="1" t="s">
        <v>10</v>
      </c>
    </row>
    <row r="314" spans="1:8" x14ac:dyDescent="0.3">
      <c r="A314" s="1">
        <v>2002</v>
      </c>
      <c r="B314" s="1">
        <v>3</v>
      </c>
      <c r="C314" s="1">
        <v>15</v>
      </c>
      <c r="D314" s="6">
        <v>2002.2</v>
      </c>
      <c r="E314" s="3">
        <v>369.6</v>
      </c>
      <c r="F314" s="3">
        <v>0.1482</v>
      </c>
      <c r="G314" s="3">
        <v>2.2479900000000002</v>
      </c>
      <c r="H314" s="1" t="s">
        <v>10</v>
      </c>
    </row>
    <row r="315" spans="1:8" x14ac:dyDescent="0.3">
      <c r="A315" s="1">
        <v>2002</v>
      </c>
      <c r="B315" s="1">
        <v>4</v>
      </c>
      <c r="C315" s="1">
        <v>15</v>
      </c>
      <c r="D315" s="6">
        <v>2002.284932</v>
      </c>
      <c r="E315" s="3">
        <v>369.76400000000001</v>
      </c>
      <c r="F315" s="3">
        <v>8.2100000000000006E-2</v>
      </c>
      <c r="G315" s="3">
        <v>2.2509800000000002</v>
      </c>
      <c r="H315" s="1" t="s">
        <v>10</v>
      </c>
    </row>
    <row r="316" spans="1:8" x14ac:dyDescent="0.3">
      <c r="A316" s="1">
        <v>2002</v>
      </c>
      <c r="B316" s="1">
        <v>5</v>
      </c>
      <c r="C316" s="1">
        <v>15</v>
      </c>
      <c r="D316" s="6">
        <v>2002.367123</v>
      </c>
      <c r="E316" s="3">
        <v>370.012</v>
      </c>
      <c r="F316" s="3">
        <v>0.15240000000000001</v>
      </c>
      <c r="G316" s="3">
        <v>2.3370099999999998</v>
      </c>
      <c r="H316" s="1" t="s">
        <v>10</v>
      </c>
    </row>
    <row r="317" spans="1:8" x14ac:dyDescent="0.3">
      <c r="A317" s="1">
        <v>2002</v>
      </c>
      <c r="B317" s="1">
        <v>6</v>
      </c>
      <c r="C317" s="1">
        <v>15</v>
      </c>
      <c r="D317" s="6">
        <v>2002.452055</v>
      </c>
      <c r="E317" s="3">
        <v>370.476</v>
      </c>
      <c r="F317" s="3">
        <v>0.2054</v>
      </c>
      <c r="G317" s="3">
        <v>2.2930000000000001</v>
      </c>
      <c r="H317" s="1" t="s">
        <v>10</v>
      </c>
    </row>
    <row r="318" spans="1:8" x14ac:dyDescent="0.3">
      <c r="A318" s="1">
        <v>2002</v>
      </c>
      <c r="B318" s="1">
        <v>7</v>
      </c>
      <c r="C318" s="1">
        <v>15</v>
      </c>
      <c r="D318" s="6">
        <v>2002.5342470000001</v>
      </c>
      <c r="E318" s="3">
        <v>371.04899999999998</v>
      </c>
      <c r="F318" s="3">
        <v>0.22059999999999999</v>
      </c>
      <c r="G318" s="3">
        <v>2.1930200000000002</v>
      </c>
      <c r="H318" s="1" t="s">
        <v>10</v>
      </c>
    </row>
    <row r="319" spans="1:8" x14ac:dyDescent="0.3">
      <c r="A319" s="1">
        <v>2002</v>
      </c>
      <c r="B319" s="1">
        <v>8</v>
      </c>
      <c r="C319" s="1">
        <v>15</v>
      </c>
      <c r="D319" s="6">
        <v>2002.6191779999999</v>
      </c>
      <c r="E319" s="3">
        <v>371.53899999999999</v>
      </c>
      <c r="F319" s="3">
        <v>0.20349999999999999</v>
      </c>
      <c r="G319" s="3">
        <v>2.2089799999999999</v>
      </c>
      <c r="H319" s="1" t="s">
        <v>10</v>
      </c>
    </row>
    <row r="320" spans="1:8" x14ac:dyDescent="0.3">
      <c r="A320" s="1">
        <v>2002</v>
      </c>
      <c r="B320" s="1">
        <v>9</v>
      </c>
      <c r="C320" s="1">
        <v>15</v>
      </c>
      <c r="D320" s="6">
        <v>2002.7041099999999</v>
      </c>
      <c r="E320" s="3">
        <v>371.87799999999999</v>
      </c>
      <c r="F320" s="3">
        <v>0.1421</v>
      </c>
      <c r="G320" s="3">
        <v>2.3530000000000002</v>
      </c>
      <c r="H320" s="1" t="s">
        <v>10</v>
      </c>
    </row>
    <row r="321" spans="1:8" x14ac:dyDescent="0.3">
      <c r="A321" s="1">
        <v>2002</v>
      </c>
      <c r="B321" s="1">
        <v>10</v>
      </c>
      <c r="C321" s="1">
        <v>15</v>
      </c>
      <c r="D321" s="6">
        <v>2002.7863010000001</v>
      </c>
      <c r="E321" s="3">
        <v>372.01100000000002</v>
      </c>
      <c r="F321" s="3">
        <v>9.1300000000000006E-2</v>
      </c>
      <c r="G321" s="3">
        <v>2.4719799999999998</v>
      </c>
      <c r="H321" s="1" t="s">
        <v>10</v>
      </c>
    </row>
    <row r="322" spans="1:8" x14ac:dyDescent="0.3">
      <c r="A322" s="1">
        <v>2002</v>
      </c>
      <c r="B322" s="1">
        <v>11</v>
      </c>
      <c r="C322" s="1">
        <v>15</v>
      </c>
      <c r="D322" s="6">
        <v>2002.8712330000001</v>
      </c>
      <c r="E322" s="3">
        <v>371.89600000000002</v>
      </c>
      <c r="F322" s="3">
        <v>0.1104</v>
      </c>
      <c r="G322" s="3">
        <v>2.5089999999999999</v>
      </c>
      <c r="H322" s="1" t="s">
        <v>10</v>
      </c>
    </row>
    <row r="323" spans="1:8" x14ac:dyDescent="0.3">
      <c r="A323" s="1">
        <v>2002</v>
      </c>
      <c r="B323" s="1">
        <v>12</v>
      </c>
      <c r="C323" s="1">
        <v>15</v>
      </c>
      <c r="D323" s="6">
        <v>2002.9534249999999</v>
      </c>
      <c r="E323" s="3">
        <v>371.70499999999998</v>
      </c>
      <c r="F323" s="3">
        <v>0.2223</v>
      </c>
      <c r="G323" s="3">
        <v>2.3889800000000001</v>
      </c>
      <c r="H323" s="1" t="s">
        <v>10</v>
      </c>
    </row>
    <row r="324" spans="1:8" x14ac:dyDescent="0.3">
      <c r="A324" s="1">
        <v>2003</v>
      </c>
      <c r="B324" s="1">
        <v>1</v>
      </c>
      <c r="C324" s="1">
        <v>15</v>
      </c>
      <c r="D324" s="6">
        <v>2003.038356</v>
      </c>
      <c r="E324" s="3">
        <v>371.67399999999998</v>
      </c>
      <c r="F324" s="3">
        <v>5.45E-2</v>
      </c>
      <c r="G324" s="3">
        <v>2.27698</v>
      </c>
      <c r="H324" s="1" t="s">
        <v>10</v>
      </c>
    </row>
    <row r="325" spans="1:8" x14ac:dyDescent="0.3">
      <c r="A325" s="1">
        <v>2003</v>
      </c>
      <c r="B325" s="1">
        <v>2</v>
      </c>
      <c r="C325" s="1">
        <v>15</v>
      </c>
      <c r="D325" s="6">
        <v>2003.123288</v>
      </c>
      <c r="E325" s="3">
        <v>371.75299999999999</v>
      </c>
      <c r="F325" s="3">
        <v>0.1018</v>
      </c>
      <c r="G325" s="3">
        <v>2.32098</v>
      </c>
      <c r="H325" s="1" t="s">
        <v>10</v>
      </c>
    </row>
    <row r="326" spans="1:8" x14ac:dyDescent="0.3">
      <c r="A326" s="1">
        <v>2003</v>
      </c>
      <c r="B326" s="1">
        <v>3</v>
      </c>
      <c r="C326" s="1">
        <v>15</v>
      </c>
      <c r="D326" s="6">
        <v>2003.2</v>
      </c>
      <c r="E326" s="3">
        <v>371.95299999999997</v>
      </c>
      <c r="F326" s="3">
        <v>0.14180000000000001</v>
      </c>
      <c r="G326" s="3">
        <v>2.2770100000000002</v>
      </c>
      <c r="H326" s="1" t="s">
        <v>10</v>
      </c>
    </row>
    <row r="327" spans="1:8" x14ac:dyDescent="0.3">
      <c r="A327" s="1">
        <v>2003</v>
      </c>
      <c r="B327" s="1">
        <v>4</v>
      </c>
      <c r="C327" s="1">
        <v>15</v>
      </c>
      <c r="D327" s="6">
        <v>2003.284932</v>
      </c>
      <c r="E327" s="3">
        <v>372.23599999999999</v>
      </c>
      <c r="F327" s="3">
        <v>0.28289999999999998</v>
      </c>
      <c r="G327" s="3">
        <v>2.0680200000000002</v>
      </c>
      <c r="H327" s="1" t="s">
        <v>10</v>
      </c>
    </row>
    <row r="328" spans="1:8" x14ac:dyDescent="0.3">
      <c r="A328" s="1">
        <v>2003</v>
      </c>
      <c r="B328" s="1">
        <v>5</v>
      </c>
      <c r="C328" s="1">
        <v>15</v>
      </c>
      <c r="D328" s="6">
        <v>2003.367123</v>
      </c>
      <c r="E328" s="3">
        <v>372.52100000000002</v>
      </c>
      <c r="F328" s="3">
        <v>0.1048</v>
      </c>
      <c r="G328" s="3">
        <v>1.9670099999999999</v>
      </c>
      <c r="H328" s="1" t="s">
        <v>10</v>
      </c>
    </row>
    <row r="329" spans="1:8" x14ac:dyDescent="0.3">
      <c r="A329" s="1">
        <v>2003</v>
      </c>
      <c r="B329" s="1">
        <v>6</v>
      </c>
      <c r="C329" s="1">
        <v>15</v>
      </c>
      <c r="D329" s="6">
        <v>2003.452055</v>
      </c>
      <c r="E329" s="3">
        <v>372.86500000000001</v>
      </c>
      <c r="F329" s="3">
        <v>0.25650000000000001</v>
      </c>
      <c r="G329" s="3">
        <v>1.9750099999999999</v>
      </c>
      <c r="H329" s="1" t="s">
        <v>10</v>
      </c>
    </row>
    <row r="330" spans="1:8" x14ac:dyDescent="0.3">
      <c r="A330" s="1">
        <v>2003</v>
      </c>
      <c r="B330" s="1">
        <v>7</v>
      </c>
      <c r="C330" s="1">
        <v>15</v>
      </c>
      <c r="D330" s="6">
        <v>2003.5342470000001</v>
      </c>
      <c r="E330" s="3">
        <v>373.32600000000002</v>
      </c>
      <c r="F330" s="3">
        <v>0.1696</v>
      </c>
      <c r="G330" s="3">
        <v>1.97299</v>
      </c>
      <c r="H330" s="1" t="s">
        <v>10</v>
      </c>
    </row>
    <row r="331" spans="1:8" x14ac:dyDescent="0.3">
      <c r="A331" s="1">
        <v>2003</v>
      </c>
      <c r="B331" s="1">
        <v>8</v>
      </c>
      <c r="C331" s="1">
        <v>15</v>
      </c>
      <c r="D331" s="6">
        <v>2003.6191779999999</v>
      </c>
      <c r="E331" s="3">
        <v>373.86</v>
      </c>
      <c r="F331" s="3">
        <v>0.15909999999999999</v>
      </c>
      <c r="G331" s="3">
        <v>2.0240200000000002</v>
      </c>
      <c r="H331" s="1" t="s">
        <v>10</v>
      </c>
    </row>
    <row r="332" spans="1:8" x14ac:dyDescent="0.3">
      <c r="A332" s="1">
        <v>2003</v>
      </c>
      <c r="B332" s="1">
        <v>9</v>
      </c>
      <c r="C332" s="1">
        <v>15</v>
      </c>
      <c r="D332" s="6">
        <v>2003.7041099999999</v>
      </c>
      <c r="E332" s="3">
        <v>374.15499999999997</v>
      </c>
      <c r="F332" s="3">
        <v>0.1716</v>
      </c>
      <c r="G332" s="3">
        <v>1.9159900000000001</v>
      </c>
      <c r="H332" s="1" t="s">
        <v>10</v>
      </c>
    </row>
    <row r="333" spans="1:8" x14ac:dyDescent="0.3">
      <c r="A333" s="1">
        <v>2003</v>
      </c>
      <c r="B333" s="1">
        <v>10</v>
      </c>
      <c r="C333" s="1">
        <v>15</v>
      </c>
      <c r="D333" s="6">
        <v>2003.7863010000001</v>
      </c>
      <c r="E333" s="3">
        <v>374.07900000000001</v>
      </c>
      <c r="F333" s="3">
        <v>0.1183</v>
      </c>
      <c r="G333" s="3">
        <v>1.7860100000000001</v>
      </c>
      <c r="H333" s="1" t="s">
        <v>10</v>
      </c>
    </row>
    <row r="334" spans="1:8" x14ac:dyDescent="0.3">
      <c r="A334" s="1">
        <v>2003</v>
      </c>
      <c r="B334" s="1">
        <v>11</v>
      </c>
      <c r="C334" s="1">
        <v>15</v>
      </c>
      <c r="D334" s="6">
        <v>2003.8712330000001</v>
      </c>
      <c r="E334" s="3">
        <v>373.863</v>
      </c>
      <c r="F334" s="3">
        <v>0.14050000000000001</v>
      </c>
      <c r="G334" s="3">
        <v>1.89499</v>
      </c>
      <c r="H334" s="1" t="s">
        <v>10</v>
      </c>
    </row>
    <row r="335" spans="1:8" x14ac:dyDescent="0.3">
      <c r="A335" s="1">
        <v>2003</v>
      </c>
      <c r="B335" s="1">
        <v>12</v>
      </c>
      <c r="C335" s="1">
        <v>15</v>
      </c>
      <c r="D335" s="6">
        <v>2003.9534249999999</v>
      </c>
      <c r="E335" s="3">
        <v>373.68</v>
      </c>
      <c r="F335" s="3">
        <v>0.1075</v>
      </c>
      <c r="G335" s="3">
        <v>2.0299999999999998</v>
      </c>
      <c r="H335" s="1" t="s">
        <v>10</v>
      </c>
    </row>
    <row r="336" spans="1:8" x14ac:dyDescent="0.3">
      <c r="A336" s="1">
        <v>2004</v>
      </c>
      <c r="B336" s="1">
        <v>1</v>
      </c>
      <c r="C336" s="1">
        <v>15</v>
      </c>
      <c r="D336" s="6">
        <v>2004.0382509999999</v>
      </c>
      <c r="E336" s="3">
        <v>373.64699999999999</v>
      </c>
      <c r="F336" s="3">
        <v>0.27100000000000002</v>
      </c>
      <c r="G336" s="3">
        <v>1.9720200000000001</v>
      </c>
      <c r="H336" s="1" t="s">
        <v>10</v>
      </c>
    </row>
    <row r="337" spans="1:8" x14ac:dyDescent="0.3">
      <c r="A337" s="1">
        <v>2004</v>
      </c>
      <c r="B337" s="1">
        <v>2</v>
      </c>
      <c r="C337" s="1">
        <v>15</v>
      </c>
      <c r="D337" s="6">
        <v>2004.1229510000001</v>
      </c>
      <c r="E337" s="3">
        <v>373.77699999999999</v>
      </c>
      <c r="F337" s="3">
        <v>0.27339999999999998</v>
      </c>
      <c r="G337" s="3">
        <v>1.77902</v>
      </c>
      <c r="H337" s="1" t="s">
        <v>10</v>
      </c>
    </row>
    <row r="338" spans="1:8" x14ac:dyDescent="0.3">
      <c r="A338" s="1">
        <v>2004</v>
      </c>
      <c r="B338" s="1">
        <v>3</v>
      </c>
      <c r="C338" s="1">
        <v>15</v>
      </c>
      <c r="D338" s="6">
        <v>2004.202186</v>
      </c>
      <c r="E338" s="3">
        <v>373.86900000000003</v>
      </c>
      <c r="F338" s="3">
        <v>7.3400000000000007E-2</v>
      </c>
      <c r="G338" s="3">
        <v>1.6390100000000001</v>
      </c>
      <c r="H338" s="1" t="s">
        <v>10</v>
      </c>
    </row>
    <row r="339" spans="1:8" x14ac:dyDescent="0.3">
      <c r="A339" s="1">
        <v>2004</v>
      </c>
      <c r="B339" s="1">
        <v>4</v>
      </c>
      <c r="C339" s="1">
        <v>15</v>
      </c>
      <c r="D339" s="6">
        <v>2004.286885</v>
      </c>
      <c r="E339" s="3">
        <v>374.02199999999999</v>
      </c>
      <c r="F339" s="3">
        <v>0.18959999999999999</v>
      </c>
      <c r="G339" s="3">
        <v>1.7379800000000001</v>
      </c>
      <c r="H339" s="1" t="s">
        <v>10</v>
      </c>
    </row>
    <row r="340" spans="1:8" x14ac:dyDescent="0.3">
      <c r="A340" s="1">
        <v>2004</v>
      </c>
      <c r="B340" s="1">
        <v>5</v>
      </c>
      <c r="C340" s="1">
        <v>15</v>
      </c>
      <c r="D340" s="6">
        <v>2004.3688520000001</v>
      </c>
      <c r="E340" s="3">
        <v>374.416</v>
      </c>
      <c r="F340" s="3">
        <v>0.24399999999999999</v>
      </c>
      <c r="G340" s="3">
        <v>1.9490099999999999</v>
      </c>
      <c r="H340" s="1" t="s">
        <v>10</v>
      </c>
    </row>
    <row r="341" spans="1:8" x14ac:dyDescent="0.3">
      <c r="A341" s="1">
        <v>2004</v>
      </c>
      <c r="B341" s="1">
        <v>6</v>
      </c>
      <c r="C341" s="1">
        <v>15</v>
      </c>
      <c r="D341" s="6">
        <v>2004.4535519999999</v>
      </c>
      <c r="E341" s="3">
        <v>374.89499999999998</v>
      </c>
      <c r="F341" s="3">
        <v>0.19239999999999999</v>
      </c>
      <c r="G341" s="3">
        <v>1.95102</v>
      </c>
      <c r="H341" s="1" t="s">
        <v>10</v>
      </c>
    </row>
    <row r="342" spans="1:8" x14ac:dyDescent="0.3">
      <c r="A342" s="1">
        <v>2004</v>
      </c>
      <c r="B342" s="1">
        <v>7</v>
      </c>
      <c r="C342" s="1">
        <v>15</v>
      </c>
      <c r="D342" s="6">
        <v>2004.535519</v>
      </c>
      <c r="E342" s="3">
        <v>375.298</v>
      </c>
      <c r="F342" s="3">
        <v>0.17</v>
      </c>
      <c r="G342" s="3">
        <v>1.82999</v>
      </c>
      <c r="H342" s="1" t="s">
        <v>10</v>
      </c>
    </row>
    <row r="343" spans="1:8" x14ac:dyDescent="0.3">
      <c r="A343" s="1">
        <v>2004</v>
      </c>
      <c r="B343" s="1">
        <v>8</v>
      </c>
      <c r="C343" s="1">
        <v>15</v>
      </c>
      <c r="D343" s="6">
        <v>2004.6202189999999</v>
      </c>
      <c r="E343" s="3">
        <v>375.63900000000001</v>
      </c>
      <c r="F343" s="3">
        <v>0.13639999999999999</v>
      </c>
      <c r="G343" s="3">
        <v>1.7450000000000001</v>
      </c>
      <c r="H343" s="1" t="s">
        <v>10</v>
      </c>
    </row>
    <row r="344" spans="1:8" x14ac:dyDescent="0.3">
      <c r="A344" s="1">
        <v>2004</v>
      </c>
      <c r="B344" s="1">
        <v>9</v>
      </c>
      <c r="C344" s="1">
        <v>15</v>
      </c>
      <c r="D344" s="6">
        <v>2004.7049179999999</v>
      </c>
      <c r="E344" s="3">
        <v>375.79399999999998</v>
      </c>
      <c r="F344" s="3">
        <v>0.1186</v>
      </c>
      <c r="G344" s="3">
        <v>1.6830099999999999</v>
      </c>
      <c r="H344" s="1" t="s">
        <v>10</v>
      </c>
    </row>
    <row r="345" spans="1:8" x14ac:dyDescent="0.3">
      <c r="A345" s="1">
        <v>2004</v>
      </c>
      <c r="B345" s="1">
        <v>10</v>
      </c>
      <c r="C345" s="1">
        <v>15</v>
      </c>
      <c r="D345" s="6">
        <v>2004.786885</v>
      </c>
      <c r="E345" s="3">
        <v>375.81700000000001</v>
      </c>
      <c r="F345" s="3">
        <v>0.15029999999999999</v>
      </c>
      <c r="G345" s="3">
        <v>1.66699</v>
      </c>
      <c r="H345" s="1" t="s">
        <v>10</v>
      </c>
    </row>
    <row r="346" spans="1:8" x14ac:dyDescent="0.3">
      <c r="A346" s="1">
        <v>2004</v>
      </c>
      <c r="B346" s="1">
        <v>11</v>
      </c>
      <c r="C346" s="1">
        <v>15</v>
      </c>
      <c r="D346" s="6">
        <v>2004.8715850000001</v>
      </c>
      <c r="E346" s="3">
        <v>375.81200000000001</v>
      </c>
      <c r="F346" s="3">
        <v>0.14119999999999999</v>
      </c>
      <c r="G346" s="3">
        <v>1.8730199999999999</v>
      </c>
      <c r="H346" s="1" t="s">
        <v>10</v>
      </c>
    </row>
    <row r="347" spans="1:8" x14ac:dyDescent="0.3">
      <c r="A347" s="1">
        <v>2004</v>
      </c>
      <c r="B347" s="1">
        <v>12</v>
      </c>
      <c r="C347" s="1">
        <v>15</v>
      </c>
      <c r="D347" s="6">
        <v>2004.9535519999999</v>
      </c>
      <c r="E347" s="3">
        <v>375.63099999999997</v>
      </c>
      <c r="F347" s="3">
        <v>0.1019</v>
      </c>
      <c r="G347" s="3">
        <v>2.1530200000000002</v>
      </c>
      <c r="H347" s="1" t="s">
        <v>10</v>
      </c>
    </row>
    <row r="348" spans="1:8" x14ac:dyDescent="0.3">
      <c r="A348" s="1">
        <v>2005</v>
      </c>
      <c r="B348" s="1">
        <v>1</v>
      </c>
      <c r="C348" s="1">
        <v>15</v>
      </c>
      <c r="D348" s="6">
        <v>2005.038356</v>
      </c>
      <c r="E348" s="3">
        <v>375.47699999999998</v>
      </c>
      <c r="F348" s="3">
        <v>0.26250000000000001</v>
      </c>
      <c r="G348" s="3">
        <v>2.12</v>
      </c>
      <c r="H348" s="1" t="s">
        <v>10</v>
      </c>
    </row>
    <row r="349" spans="1:8" x14ac:dyDescent="0.3">
      <c r="A349" s="1">
        <v>2005</v>
      </c>
      <c r="B349" s="1">
        <v>2</v>
      </c>
      <c r="C349" s="1">
        <v>15</v>
      </c>
      <c r="D349" s="6">
        <v>2005.123288</v>
      </c>
      <c r="E349" s="3">
        <v>375.52199999999999</v>
      </c>
      <c r="F349" s="3">
        <v>9.9400000000000002E-2</v>
      </c>
      <c r="G349" s="3">
        <v>2.0640000000000001</v>
      </c>
      <c r="H349" s="1" t="s">
        <v>10</v>
      </c>
    </row>
    <row r="350" spans="1:8" x14ac:dyDescent="0.3">
      <c r="A350" s="1">
        <v>2005</v>
      </c>
      <c r="B350" s="1">
        <v>3</v>
      </c>
      <c r="C350" s="1">
        <v>15</v>
      </c>
      <c r="D350" s="6">
        <v>2005.2</v>
      </c>
      <c r="E350" s="3">
        <v>375.55200000000002</v>
      </c>
      <c r="F350" s="3">
        <v>0.1754</v>
      </c>
      <c r="G350" s="3">
        <v>2.1839900000000001</v>
      </c>
      <c r="H350" s="1" t="s">
        <v>10</v>
      </c>
    </row>
    <row r="351" spans="1:8" x14ac:dyDescent="0.3">
      <c r="A351" s="1">
        <v>2005</v>
      </c>
      <c r="B351" s="1">
        <v>4</v>
      </c>
      <c r="C351" s="1">
        <v>15</v>
      </c>
      <c r="D351" s="6">
        <v>2005.284932</v>
      </c>
      <c r="E351" s="3">
        <v>375.68900000000002</v>
      </c>
      <c r="F351" s="3">
        <v>9.8100000000000007E-2</v>
      </c>
      <c r="G351" s="3">
        <v>2.2370000000000001</v>
      </c>
      <c r="H351" s="1" t="s">
        <v>10</v>
      </c>
    </row>
    <row r="352" spans="1:8" x14ac:dyDescent="0.3">
      <c r="A352" s="1">
        <v>2005</v>
      </c>
      <c r="B352" s="1">
        <v>5</v>
      </c>
      <c r="C352" s="1">
        <v>15</v>
      </c>
      <c r="D352" s="6">
        <v>2005.367123</v>
      </c>
      <c r="E352" s="3">
        <v>376.28899999999999</v>
      </c>
      <c r="F352" s="3">
        <v>0.33689999999999998</v>
      </c>
      <c r="G352" s="3">
        <v>2.1879900000000001</v>
      </c>
      <c r="H352" s="1" t="s">
        <v>10</v>
      </c>
    </row>
    <row r="353" spans="1:8" x14ac:dyDescent="0.3">
      <c r="A353" s="1">
        <v>2005</v>
      </c>
      <c r="B353" s="1">
        <v>6</v>
      </c>
      <c r="C353" s="1">
        <v>15</v>
      </c>
      <c r="D353" s="6">
        <v>2005.452055</v>
      </c>
      <c r="E353" s="3">
        <v>377.048</v>
      </c>
      <c r="F353" s="3">
        <v>0.30449999999999999</v>
      </c>
      <c r="G353" s="3">
        <v>2.2549700000000001</v>
      </c>
      <c r="H353" s="1" t="s">
        <v>10</v>
      </c>
    </row>
    <row r="354" spans="1:8" x14ac:dyDescent="0.3">
      <c r="A354" s="1">
        <v>2005</v>
      </c>
      <c r="B354" s="1">
        <v>7</v>
      </c>
      <c r="C354" s="1">
        <v>15</v>
      </c>
      <c r="D354" s="6">
        <v>2005.5342470000001</v>
      </c>
      <c r="E354" s="3">
        <v>377.41800000000001</v>
      </c>
      <c r="F354" s="3">
        <v>0.27139999999999997</v>
      </c>
      <c r="G354" s="3">
        <v>2.4950000000000001</v>
      </c>
      <c r="H354" s="1" t="s">
        <v>10</v>
      </c>
    </row>
    <row r="355" spans="1:8" x14ac:dyDescent="0.3">
      <c r="A355" s="1">
        <v>2005</v>
      </c>
      <c r="B355" s="1">
        <v>8</v>
      </c>
      <c r="C355" s="1">
        <v>15</v>
      </c>
      <c r="D355" s="6">
        <v>2005.6191779999999</v>
      </c>
      <c r="E355" s="3">
        <v>377.70299999999997</v>
      </c>
      <c r="F355" s="3">
        <v>0.1201</v>
      </c>
      <c r="G355" s="3">
        <v>2.5819999999999999</v>
      </c>
      <c r="H355" s="1" t="s">
        <v>10</v>
      </c>
    </row>
    <row r="356" spans="1:8" x14ac:dyDescent="0.3">
      <c r="A356" s="1">
        <v>2005</v>
      </c>
      <c r="B356" s="1">
        <v>9</v>
      </c>
      <c r="C356" s="1">
        <v>15</v>
      </c>
      <c r="D356" s="6">
        <v>2005.7041099999999</v>
      </c>
      <c r="E356" s="3">
        <v>377.97800000000001</v>
      </c>
      <c r="F356" s="3">
        <v>5.0299999999999997E-2</v>
      </c>
      <c r="G356" s="3">
        <v>2.5669900000000001</v>
      </c>
      <c r="H356" s="1" t="s">
        <v>10</v>
      </c>
    </row>
    <row r="357" spans="1:8" x14ac:dyDescent="0.3">
      <c r="A357" s="1">
        <v>2005</v>
      </c>
      <c r="B357" s="1">
        <v>10</v>
      </c>
      <c r="C357" s="1">
        <v>15</v>
      </c>
      <c r="D357" s="6">
        <v>2005.7863010000001</v>
      </c>
      <c r="E357" s="3">
        <v>378.05399999999997</v>
      </c>
      <c r="F357" s="3">
        <v>0.10440000000000001</v>
      </c>
      <c r="G357" s="3">
        <v>2.492</v>
      </c>
      <c r="H357" s="1" t="s">
        <v>10</v>
      </c>
    </row>
    <row r="358" spans="1:8" x14ac:dyDescent="0.3">
      <c r="A358" s="1">
        <v>2005</v>
      </c>
      <c r="B358" s="1">
        <v>11</v>
      </c>
      <c r="C358" s="1">
        <v>15</v>
      </c>
      <c r="D358" s="6">
        <v>2005.8712330000001</v>
      </c>
      <c r="E358" s="3">
        <v>378</v>
      </c>
      <c r="F358" s="3">
        <v>3.5200000000000002E-2</v>
      </c>
      <c r="G358" s="3">
        <v>2.0140099999999999</v>
      </c>
      <c r="H358" s="1" t="s">
        <v>10</v>
      </c>
    </row>
    <row r="359" spans="1:8" x14ac:dyDescent="0.3">
      <c r="A359" s="1">
        <v>2005</v>
      </c>
      <c r="B359" s="1">
        <v>12</v>
      </c>
      <c r="C359" s="1">
        <v>15</v>
      </c>
      <c r="D359" s="6">
        <v>2005.9534249999999</v>
      </c>
      <c r="E359" s="3">
        <v>377.88600000000002</v>
      </c>
      <c r="F359" s="3">
        <v>7.4200000000000002E-2</v>
      </c>
      <c r="G359" s="3">
        <v>1.4880100000000001</v>
      </c>
      <c r="H359" s="1" t="s">
        <v>10</v>
      </c>
    </row>
    <row r="360" spans="1:8" x14ac:dyDescent="0.3">
      <c r="A360" s="1">
        <v>2006</v>
      </c>
      <c r="B360" s="1">
        <v>1</v>
      </c>
      <c r="C360" s="1">
        <v>15</v>
      </c>
      <c r="D360" s="6">
        <v>2006.038356</v>
      </c>
      <c r="E360" s="3">
        <v>377.97199999999998</v>
      </c>
      <c r="F360" s="3">
        <v>0.23719999999999999</v>
      </c>
      <c r="G360" s="3">
        <v>1.5119899999999999</v>
      </c>
      <c r="H360" s="1" t="s">
        <v>10</v>
      </c>
    </row>
    <row r="361" spans="1:8" x14ac:dyDescent="0.3">
      <c r="A361" s="1">
        <v>2006</v>
      </c>
      <c r="B361" s="1">
        <v>2</v>
      </c>
      <c r="C361" s="1">
        <v>15</v>
      </c>
      <c r="D361" s="6">
        <v>2006.123288</v>
      </c>
      <c r="E361" s="3">
        <v>378.10399999999998</v>
      </c>
      <c r="F361" s="3">
        <v>0.2049</v>
      </c>
      <c r="G361" s="3">
        <v>1.67801</v>
      </c>
      <c r="H361" s="1" t="s">
        <v>10</v>
      </c>
    </row>
    <row r="362" spans="1:8" x14ac:dyDescent="0.3">
      <c r="A362" s="1">
        <v>2006</v>
      </c>
      <c r="B362" s="1">
        <v>3</v>
      </c>
      <c r="C362" s="1">
        <v>15</v>
      </c>
      <c r="D362" s="6">
        <v>2006.2</v>
      </c>
      <c r="E362" s="3">
        <v>378.11900000000003</v>
      </c>
      <c r="F362" s="3">
        <v>0.1071</v>
      </c>
      <c r="G362" s="3">
        <v>1.625</v>
      </c>
      <c r="H362" s="1" t="s">
        <v>10</v>
      </c>
    </row>
    <row r="363" spans="1:8" x14ac:dyDescent="0.3">
      <c r="A363" s="1">
        <v>2006</v>
      </c>
      <c r="B363" s="1">
        <v>4</v>
      </c>
      <c r="C363" s="1">
        <v>15</v>
      </c>
      <c r="D363" s="6">
        <v>2006.284932</v>
      </c>
      <c r="E363" s="3">
        <v>378.18099999999998</v>
      </c>
      <c r="F363" s="3">
        <v>0.20599999999999999</v>
      </c>
      <c r="G363" s="3">
        <v>1.48001</v>
      </c>
      <c r="H363" s="1" t="s">
        <v>10</v>
      </c>
    </row>
    <row r="364" spans="1:8" x14ac:dyDescent="0.3">
      <c r="A364" s="1">
        <v>2006</v>
      </c>
      <c r="B364" s="1">
        <v>5</v>
      </c>
      <c r="C364" s="1">
        <v>15</v>
      </c>
      <c r="D364" s="6">
        <v>2006.367123</v>
      </c>
      <c r="E364" s="3">
        <v>378.303</v>
      </c>
      <c r="F364" s="3">
        <v>0.11459999999999999</v>
      </c>
      <c r="G364" s="3">
        <v>1.492</v>
      </c>
      <c r="H364" s="1" t="s">
        <v>10</v>
      </c>
    </row>
    <row r="365" spans="1:8" x14ac:dyDescent="0.3">
      <c r="A365" s="1">
        <v>2006</v>
      </c>
      <c r="B365" s="1">
        <v>6</v>
      </c>
      <c r="C365" s="1">
        <v>15</v>
      </c>
      <c r="D365" s="6">
        <v>2006.452055</v>
      </c>
      <c r="E365" s="3">
        <v>378.536</v>
      </c>
      <c r="F365" s="3">
        <v>9.5799999999999996E-2</v>
      </c>
      <c r="G365" s="3">
        <v>1.6800200000000001</v>
      </c>
      <c r="H365" s="1" t="s">
        <v>10</v>
      </c>
    </row>
    <row r="366" spans="1:8" x14ac:dyDescent="0.3">
      <c r="A366" s="1">
        <v>2006</v>
      </c>
      <c r="B366" s="1">
        <v>7</v>
      </c>
      <c r="C366" s="1">
        <v>15</v>
      </c>
      <c r="D366" s="6">
        <v>2006.5342470000001</v>
      </c>
      <c r="E366" s="3">
        <v>378.93</v>
      </c>
      <c r="F366" s="3">
        <v>0.1845</v>
      </c>
      <c r="G366" s="3">
        <v>1.5200199999999999</v>
      </c>
      <c r="H366" s="1" t="s">
        <v>10</v>
      </c>
    </row>
    <row r="367" spans="1:8" x14ac:dyDescent="0.3">
      <c r="A367" s="1">
        <v>2006</v>
      </c>
      <c r="B367" s="1">
        <v>8</v>
      </c>
      <c r="C367" s="1">
        <v>15</v>
      </c>
      <c r="D367" s="6">
        <v>2006.6191779999999</v>
      </c>
      <c r="E367" s="3">
        <v>379.38099999999997</v>
      </c>
      <c r="F367" s="3">
        <v>0.14199999999999999</v>
      </c>
      <c r="G367" s="3">
        <v>1.35599</v>
      </c>
      <c r="H367" s="1" t="s">
        <v>10</v>
      </c>
    </row>
    <row r="368" spans="1:8" x14ac:dyDescent="0.3">
      <c r="A368" s="1">
        <v>2006</v>
      </c>
      <c r="B368" s="1">
        <v>9</v>
      </c>
      <c r="C368" s="1">
        <v>15</v>
      </c>
      <c r="D368" s="6">
        <v>2006.7041099999999</v>
      </c>
      <c r="E368" s="3">
        <v>379.60300000000001</v>
      </c>
      <c r="F368" s="3">
        <v>8.6999999999999994E-2</v>
      </c>
      <c r="G368" s="3">
        <v>1.448</v>
      </c>
      <c r="H368" s="1" t="s">
        <v>10</v>
      </c>
    </row>
    <row r="369" spans="1:8" x14ac:dyDescent="0.3">
      <c r="A369" s="1">
        <v>2006</v>
      </c>
      <c r="B369" s="1">
        <v>10</v>
      </c>
      <c r="C369" s="1">
        <v>15</v>
      </c>
      <c r="D369" s="6">
        <v>2006.7863010000001</v>
      </c>
      <c r="E369" s="3">
        <v>379.53399999999999</v>
      </c>
      <c r="F369" s="3">
        <v>0.13830000000000001</v>
      </c>
      <c r="G369" s="3">
        <v>1.5860000000000001</v>
      </c>
      <c r="H369" s="1" t="s">
        <v>10</v>
      </c>
    </row>
    <row r="370" spans="1:8" x14ac:dyDescent="0.3">
      <c r="A370" s="1">
        <v>2006</v>
      </c>
      <c r="B370" s="1">
        <v>11</v>
      </c>
      <c r="C370" s="1">
        <v>15</v>
      </c>
      <c r="D370" s="6">
        <v>2006.8712330000001</v>
      </c>
      <c r="E370" s="3">
        <v>379.49200000000002</v>
      </c>
      <c r="F370" s="3">
        <v>0.24529999999999999</v>
      </c>
      <c r="G370" s="3">
        <v>1.8360000000000001</v>
      </c>
      <c r="H370" s="1" t="s">
        <v>10</v>
      </c>
    </row>
    <row r="371" spans="1:8" x14ac:dyDescent="0.3">
      <c r="A371" s="1">
        <v>2006</v>
      </c>
      <c r="B371" s="1">
        <v>12</v>
      </c>
      <c r="C371" s="1">
        <v>15</v>
      </c>
      <c r="D371" s="6">
        <v>2006.9534249999999</v>
      </c>
      <c r="E371" s="3">
        <v>379.56599999999997</v>
      </c>
      <c r="F371" s="3">
        <v>0.1133</v>
      </c>
      <c r="G371" s="3">
        <v>1.9910000000000001</v>
      </c>
      <c r="H371" s="1" t="s">
        <v>10</v>
      </c>
    </row>
    <row r="372" spans="1:8" x14ac:dyDescent="0.3">
      <c r="A372" s="1">
        <v>2007</v>
      </c>
      <c r="B372" s="1">
        <v>1</v>
      </c>
      <c r="C372" s="1">
        <v>15</v>
      </c>
      <c r="D372" s="6">
        <v>2007.038356</v>
      </c>
      <c r="E372" s="3">
        <v>379.49200000000002</v>
      </c>
      <c r="F372" s="3">
        <v>0.1787</v>
      </c>
      <c r="G372" s="3">
        <v>2.1030000000000002</v>
      </c>
      <c r="H372" s="1" t="s">
        <v>10</v>
      </c>
    </row>
    <row r="373" spans="1:8" x14ac:dyDescent="0.3">
      <c r="A373" s="1">
        <v>2007</v>
      </c>
      <c r="B373" s="1">
        <v>2</v>
      </c>
      <c r="C373" s="1">
        <v>15</v>
      </c>
      <c r="D373" s="6">
        <v>2007.123288</v>
      </c>
      <c r="E373" s="3">
        <v>379.46</v>
      </c>
      <c r="F373" s="3">
        <v>6.6100000000000006E-2</v>
      </c>
      <c r="G373" s="3">
        <v>2.0699800000000002</v>
      </c>
      <c r="H373" s="1" t="s">
        <v>10</v>
      </c>
    </row>
    <row r="374" spans="1:8" x14ac:dyDescent="0.3">
      <c r="A374" s="1">
        <v>2007</v>
      </c>
      <c r="B374" s="1">
        <v>3</v>
      </c>
      <c r="C374" s="1">
        <v>15</v>
      </c>
      <c r="D374" s="6">
        <v>2007.2</v>
      </c>
      <c r="E374" s="3">
        <v>379.56700000000001</v>
      </c>
      <c r="F374" s="3">
        <v>0.1565</v>
      </c>
      <c r="G374" s="3">
        <v>2.056</v>
      </c>
      <c r="H374" s="1" t="s">
        <v>10</v>
      </c>
    </row>
    <row r="375" spans="1:8" x14ac:dyDescent="0.3">
      <c r="A375" s="1">
        <v>2007</v>
      </c>
      <c r="B375" s="1">
        <v>4</v>
      </c>
      <c r="C375" s="1">
        <v>15</v>
      </c>
      <c r="D375" s="6">
        <v>2007.284932</v>
      </c>
      <c r="E375" s="3">
        <v>379.767</v>
      </c>
      <c r="F375" s="3">
        <v>8.8700000000000001E-2</v>
      </c>
      <c r="G375" s="3">
        <v>2.2520099999999998</v>
      </c>
      <c r="H375" s="1" t="s">
        <v>10</v>
      </c>
    </row>
    <row r="376" spans="1:8" x14ac:dyDescent="0.3">
      <c r="A376" s="1">
        <v>2007</v>
      </c>
      <c r="B376" s="1">
        <v>5</v>
      </c>
      <c r="C376" s="1">
        <v>15</v>
      </c>
      <c r="D376" s="6">
        <v>2007.367123</v>
      </c>
      <c r="E376" s="3">
        <v>380.13900000000001</v>
      </c>
      <c r="F376" s="3">
        <v>0.16089999999999999</v>
      </c>
      <c r="G376" s="3">
        <v>2.2719999999999998</v>
      </c>
      <c r="H376" s="1" t="s">
        <v>10</v>
      </c>
    </row>
    <row r="377" spans="1:8" x14ac:dyDescent="0.3">
      <c r="A377" s="1">
        <v>2007</v>
      </c>
      <c r="B377" s="1">
        <v>6</v>
      </c>
      <c r="C377" s="1">
        <v>15</v>
      </c>
      <c r="D377" s="6">
        <v>2007.452055</v>
      </c>
      <c r="E377" s="3">
        <v>380.52699999999999</v>
      </c>
      <c r="F377" s="3">
        <v>0.15129999999999999</v>
      </c>
      <c r="G377" s="3">
        <v>2.15198</v>
      </c>
      <c r="H377" s="1" t="s">
        <v>10</v>
      </c>
    </row>
    <row r="378" spans="1:8" x14ac:dyDescent="0.3">
      <c r="A378" s="1">
        <v>2007</v>
      </c>
      <c r="B378" s="1">
        <v>7</v>
      </c>
      <c r="C378" s="1">
        <v>15</v>
      </c>
      <c r="D378" s="6">
        <v>2007.5342470000001</v>
      </c>
      <c r="E378" s="3">
        <v>381.03300000000002</v>
      </c>
      <c r="F378" s="3">
        <v>0.17660000000000001</v>
      </c>
      <c r="G378" s="3">
        <v>2.2879900000000002</v>
      </c>
      <c r="H378" s="1" t="s">
        <v>10</v>
      </c>
    </row>
    <row r="379" spans="1:8" x14ac:dyDescent="0.3">
      <c r="A379" s="1">
        <v>2007</v>
      </c>
      <c r="B379" s="1">
        <v>8</v>
      </c>
      <c r="C379" s="1">
        <v>15</v>
      </c>
      <c r="D379" s="6">
        <v>2007.6191779999999</v>
      </c>
      <c r="E379" s="3">
        <v>381.45100000000002</v>
      </c>
      <c r="F379" s="3">
        <v>0.10340000000000001</v>
      </c>
      <c r="G379" s="3">
        <v>2.3999899999999998</v>
      </c>
      <c r="H379" s="1" t="s">
        <v>10</v>
      </c>
    </row>
    <row r="380" spans="1:8" x14ac:dyDescent="0.3">
      <c r="A380" s="1">
        <v>2007</v>
      </c>
      <c r="B380" s="1">
        <v>9</v>
      </c>
      <c r="C380" s="1">
        <v>15</v>
      </c>
      <c r="D380" s="6">
        <v>2007.7041099999999</v>
      </c>
      <c r="E380" s="3">
        <v>381.65899999999999</v>
      </c>
      <c r="F380" s="3">
        <v>0.38900000000000001</v>
      </c>
      <c r="G380" s="3">
        <v>2.29901</v>
      </c>
      <c r="H380" s="1" t="s">
        <v>10</v>
      </c>
    </row>
    <row r="381" spans="1:8" x14ac:dyDescent="0.3">
      <c r="A381" s="1">
        <v>2007</v>
      </c>
      <c r="B381" s="1">
        <v>10</v>
      </c>
      <c r="C381" s="1">
        <v>15</v>
      </c>
      <c r="D381" s="6">
        <v>2007.7863010000001</v>
      </c>
      <c r="E381" s="3">
        <v>381.786</v>
      </c>
      <c r="F381" s="3">
        <v>0.15140000000000001</v>
      </c>
      <c r="G381" s="3">
        <v>2.194</v>
      </c>
      <c r="H381" s="1" t="s">
        <v>10</v>
      </c>
    </row>
    <row r="382" spans="1:8" x14ac:dyDescent="0.3">
      <c r="A382" s="1">
        <v>2007</v>
      </c>
      <c r="B382" s="1">
        <v>11</v>
      </c>
      <c r="C382" s="1">
        <v>15</v>
      </c>
      <c r="D382" s="6">
        <v>2007.8712330000001</v>
      </c>
      <c r="E382" s="3">
        <v>381.76400000000001</v>
      </c>
      <c r="F382" s="3">
        <v>0.1268</v>
      </c>
      <c r="G382" s="3">
        <v>2.0910000000000002</v>
      </c>
      <c r="H382" s="1" t="s">
        <v>10</v>
      </c>
    </row>
    <row r="383" spans="1:8" x14ac:dyDescent="0.3">
      <c r="A383" s="1">
        <v>2007</v>
      </c>
      <c r="B383" s="1">
        <v>12</v>
      </c>
      <c r="C383" s="1">
        <v>15</v>
      </c>
      <c r="D383" s="6">
        <v>2007.9534249999999</v>
      </c>
      <c r="E383" s="3">
        <v>381.71800000000002</v>
      </c>
      <c r="F383" s="3">
        <v>0.21779999999999999</v>
      </c>
      <c r="G383" s="3">
        <v>2.202</v>
      </c>
      <c r="H383" s="1" t="s">
        <v>10</v>
      </c>
    </row>
    <row r="384" spans="1:8" x14ac:dyDescent="0.3">
      <c r="A384" s="1">
        <v>2008</v>
      </c>
      <c r="B384" s="1">
        <v>1</v>
      </c>
      <c r="C384" s="1">
        <v>15</v>
      </c>
      <c r="D384" s="6">
        <v>2008.0382509999999</v>
      </c>
      <c r="E384" s="3">
        <v>381.78</v>
      </c>
      <c r="F384" s="3">
        <v>7.3400000000000007E-2</v>
      </c>
      <c r="G384" s="3">
        <v>2.0380199999999999</v>
      </c>
      <c r="H384" s="1" t="s">
        <v>10</v>
      </c>
    </row>
    <row r="385" spans="1:8" x14ac:dyDescent="0.3">
      <c r="A385" s="1">
        <v>2008</v>
      </c>
      <c r="B385" s="1">
        <v>2</v>
      </c>
      <c r="C385" s="1">
        <v>15</v>
      </c>
      <c r="D385" s="6">
        <v>2008.1229510000001</v>
      </c>
      <c r="E385" s="3">
        <v>381.86</v>
      </c>
      <c r="F385" s="3">
        <v>0.18890000000000001</v>
      </c>
      <c r="G385" s="3">
        <v>1.9830000000000001</v>
      </c>
      <c r="H385" s="1" t="s">
        <v>10</v>
      </c>
    </row>
    <row r="386" spans="1:8" x14ac:dyDescent="0.3">
      <c r="A386" s="1">
        <v>2008</v>
      </c>
      <c r="B386" s="1">
        <v>3</v>
      </c>
      <c r="C386" s="1">
        <v>15</v>
      </c>
      <c r="D386" s="6">
        <v>2008.202186</v>
      </c>
      <c r="E386" s="3">
        <v>381.86599999999999</v>
      </c>
      <c r="F386" s="3">
        <v>8.2199999999999995E-2</v>
      </c>
      <c r="G386" s="3">
        <v>2.17902</v>
      </c>
      <c r="H386" s="1" t="s">
        <v>10</v>
      </c>
    </row>
    <row r="387" spans="1:8" x14ac:dyDescent="0.3">
      <c r="A387" s="1">
        <v>2008</v>
      </c>
      <c r="B387" s="1">
        <v>4</v>
      </c>
      <c r="C387" s="1">
        <v>15</v>
      </c>
      <c r="D387" s="6">
        <v>2008.286885</v>
      </c>
      <c r="E387" s="3">
        <v>381.96100000000001</v>
      </c>
      <c r="F387" s="3">
        <v>0.2099</v>
      </c>
      <c r="G387" s="3">
        <v>2.0109900000000001</v>
      </c>
      <c r="H387" s="1" t="s">
        <v>10</v>
      </c>
    </row>
    <row r="388" spans="1:8" x14ac:dyDescent="0.3">
      <c r="A388" s="1">
        <v>2008</v>
      </c>
      <c r="B388" s="1">
        <v>5</v>
      </c>
      <c r="C388" s="1">
        <v>15</v>
      </c>
      <c r="D388" s="6">
        <v>2008.3688520000001</v>
      </c>
      <c r="E388" s="3">
        <v>382.23</v>
      </c>
      <c r="F388" s="3">
        <v>0.1464</v>
      </c>
      <c r="G388" s="3">
        <v>1.8809800000000001</v>
      </c>
      <c r="H388" s="1" t="s">
        <v>10</v>
      </c>
    </row>
    <row r="389" spans="1:8" x14ac:dyDescent="0.3">
      <c r="A389" s="1">
        <v>2008</v>
      </c>
      <c r="B389" s="1">
        <v>6</v>
      </c>
      <c r="C389" s="1">
        <v>15</v>
      </c>
      <c r="D389" s="6">
        <v>2008.4535519999999</v>
      </c>
      <c r="E389" s="3">
        <v>382.72899999999998</v>
      </c>
      <c r="F389" s="3">
        <v>0.19980000000000001</v>
      </c>
      <c r="G389" s="3">
        <v>2.004</v>
      </c>
      <c r="H389" s="1" t="s">
        <v>10</v>
      </c>
    </row>
    <row r="390" spans="1:8" x14ac:dyDescent="0.3">
      <c r="A390" s="1">
        <v>2008</v>
      </c>
      <c r="B390" s="1">
        <v>7</v>
      </c>
      <c r="C390" s="1">
        <v>15</v>
      </c>
      <c r="D390" s="6">
        <v>2008.535519</v>
      </c>
      <c r="E390" s="3">
        <v>383.07100000000003</v>
      </c>
      <c r="F390" s="3">
        <v>0.10340000000000001</v>
      </c>
      <c r="G390" s="3">
        <v>2.1830099999999999</v>
      </c>
      <c r="H390" s="1" t="s">
        <v>10</v>
      </c>
    </row>
    <row r="391" spans="1:8" x14ac:dyDescent="0.3">
      <c r="A391" s="1">
        <v>2008</v>
      </c>
      <c r="B391" s="1">
        <v>8</v>
      </c>
      <c r="C391" s="1">
        <v>15</v>
      </c>
      <c r="D391" s="6">
        <v>2008.6202189999999</v>
      </c>
      <c r="E391" s="3">
        <v>383.43400000000003</v>
      </c>
      <c r="F391" s="3">
        <v>0.26329999999999998</v>
      </c>
      <c r="G391" s="3">
        <v>2.0660099999999999</v>
      </c>
      <c r="H391" s="1" t="s">
        <v>10</v>
      </c>
    </row>
    <row r="392" spans="1:8" x14ac:dyDescent="0.3">
      <c r="A392" s="1">
        <v>2008</v>
      </c>
      <c r="B392" s="1">
        <v>9</v>
      </c>
      <c r="C392" s="1">
        <v>15</v>
      </c>
      <c r="D392" s="6">
        <v>2008.7049179999999</v>
      </c>
      <c r="E392" s="3">
        <v>383.83800000000002</v>
      </c>
      <c r="F392" s="3">
        <v>0.152</v>
      </c>
      <c r="G392" s="3">
        <v>1.73099</v>
      </c>
      <c r="H392" s="1" t="s">
        <v>10</v>
      </c>
    </row>
    <row r="393" spans="1:8" x14ac:dyDescent="0.3">
      <c r="A393" s="1">
        <v>2008</v>
      </c>
      <c r="B393" s="1">
        <v>10</v>
      </c>
      <c r="C393" s="1">
        <v>15</v>
      </c>
      <c r="D393" s="6">
        <v>2008.786885</v>
      </c>
      <c r="E393" s="3">
        <v>383.79700000000003</v>
      </c>
      <c r="F393" s="3">
        <v>0.14580000000000001</v>
      </c>
      <c r="G393" s="3">
        <v>1.5410200000000001</v>
      </c>
      <c r="H393" s="1" t="s">
        <v>10</v>
      </c>
    </row>
    <row r="394" spans="1:8" x14ac:dyDescent="0.3">
      <c r="A394" s="1">
        <v>2008</v>
      </c>
      <c r="B394" s="1">
        <v>11</v>
      </c>
      <c r="C394" s="1">
        <v>15</v>
      </c>
      <c r="D394" s="6">
        <v>2008.8715850000001</v>
      </c>
      <c r="E394" s="3">
        <v>383.64499999999998</v>
      </c>
      <c r="F394" s="3">
        <v>0.2596</v>
      </c>
      <c r="G394" s="3">
        <v>1.49899</v>
      </c>
      <c r="H394" s="1" t="s">
        <v>10</v>
      </c>
    </row>
    <row r="395" spans="1:8" x14ac:dyDescent="0.3">
      <c r="A395" s="1">
        <v>2008</v>
      </c>
      <c r="B395" s="1">
        <v>12</v>
      </c>
      <c r="C395" s="1">
        <v>15</v>
      </c>
      <c r="D395" s="6">
        <v>2008.9535519999999</v>
      </c>
      <c r="E395" s="3">
        <v>383.72199999999998</v>
      </c>
      <c r="F395" s="3">
        <v>0.13780000000000001</v>
      </c>
      <c r="G395" s="3">
        <v>1.2889999999999999</v>
      </c>
      <c r="H395" s="1" t="s">
        <v>10</v>
      </c>
    </row>
    <row r="396" spans="1:8" x14ac:dyDescent="0.3">
      <c r="A396" s="1">
        <v>2009</v>
      </c>
      <c r="B396" s="1">
        <v>1</v>
      </c>
      <c r="C396" s="1">
        <v>15</v>
      </c>
      <c r="D396" s="6">
        <v>2009.038356</v>
      </c>
      <c r="E396" s="3">
        <v>383.96300000000002</v>
      </c>
      <c r="F396" s="3">
        <v>0.15659999999999999</v>
      </c>
      <c r="G396" s="3">
        <v>1.34799</v>
      </c>
      <c r="H396" s="1" t="s">
        <v>10</v>
      </c>
    </row>
    <row r="397" spans="1:8" x14ac:dyDescent="0.3">
      <c r="A397" s="1">
        <v>2009</v>
      </c>
      <c r="B397" s="1">
        <v>2</v>
      </c>
      <c r="C397" s="1">
        <v>15</v>
      </c>
      <c r="D397" s="6">
        <v>2009.123288</v>
      </c>
      <c r="E397" s="3">
        <v>383.92599999999999</v>
      </c>
      <c r="F397" s="3">
        <v>7.6600000000000001E-2</v>
      </c>
      <c r="G397" s="3">
        <v>1.45001</v>
      </c>
      <c r="H397" s="1" t="s">
        <v>10</v>
      </c>
    </row>
    <row r="398" spans="1:8" x14ac:dyDescent="0.3">
      <c r="A398" s="1">
        <v>2009</v>
      </c>
      <c r="B398" s="1">
        <v>3</v>
      </c>
      <c r="C398" s="1">
        <v>15</v>
      </c>
      <c r="D398" s="6">
        <v>2009.2</v>
      </c>
      <c r="E398" s="3">
        <v>383.59699999999998</v>
      </c>
      <c r="F398" s="3">
        <v>0.2208</v>
      </c>
      <c r="G398" s="3">
        <v>1.2609900000000001</v>
      </c>
      <c r="H398" s="1" t="s">
        <v>10</v>
      </c>
    </row>
    <row r="399" spans="1:8" x14ac:dyDescent="0.3">
      <c r="A399" s="1">
        <v>2009</v>
      </c>
      <c r="B399" s="1">
        <v>4</v>
      </c>
      <c r="C399" s="1">
        <v>15</v>
      </c>
      <c r="D399" s="6">
        <v>2009.284932</v>
      </c>
      <c r="E399" s="3">
        <v>383.50200000000001</v>
      </c>
      <c r="F399" s="3">
        <v>9.7799999999999998E-2</v>
      </c>
      <c r="G399" s="3">
        <v>1.4150100000000001</v>
      </c>
      <c r="H399" s="1" t="s">
        <v>10</v>
      </c>
    </row>
    <row r="400" spans="1:8" x14ac:dyDescent="0.3">
      <c r="A400" s="1">
        <v>2009</v>
      </c>
      <c r="B400" s="1">
        <v>5</v>
      </c>
      <c r="C400" s="1">
        <v>15</v>
      </c>
      <c r="D400" s="6">
        <v>2009.367123</v>
      </c>
      <c r="E400" s="3">
        <v>383.72899999999998</v>
      </c>
      <c r="F400" s="3">
        <v>0.14599999999999999</v>
      </c>
      <c r="G400" s="3">
        <v>1.54501</v>
      </c>
      <c r="H400" s="1" t="s">
        <v>10</v>
      </c>
    </row>
    <row r="401" spans="1:8" x14ac:dyDescent="0.3">
      <c r="A401" s="1">
        <v>2009</v>
      </c>
      <c r="B401" s="1">
        <v>6</v>
      </c>
      <c r="C401" s="1">
        <v>15</v>
      </c>
      <c r="D401" s="6">
        <v>2009.452055</v>
      </c>
      <c r="E401" s="3">
        <v>384.01799999999997</v>
      </c>
      <c r="F401" s="3">
        <v>0.1978</v>
      </c>
      <c r="G401" s="3">
        <v>1.3850100000000001</v>
      </c>
      <c r="H401" s="1" t="s">
        <v>10</v>
      </c>
    </row>
    <row r="402" spans="1:8" x14ac:dyDescent="0.3">
      <c r="A402" s="1">
        <v>2009</v>
      </c>
      <c r="B402" s="1">
        <v>7</v>
      </c>
      <c r="C402" s="1">
        <v>15</v>
      </c>
      <c r="D402" s="6">
        <v>2009.5342470000001</v>
      </c>
      <c r="E402" s="3">
        <v>384.41899999999998</v>
      </c>
      <c r="F402" s="3">
        <v>0.183</v>
      </c>
      <c r="G402" s="3">
        <v>1.1089800000000001</v>
      </c>
      <c r="H402" s="1" t="s">
        <v>10</v>
      </c>
    </row>
    <row r="403" spans="1:8" x14ac:dyDescent="0.3">
      <c r="A403" s="1">
        <v>2009</v>
      </c>
      <c r="B403" s="1">
        <v>8</v>
      </c>
      <c r="C403" s="1">
        <v>15</v>
      </c>
      <c r="D403" s="6">
        <v>2009.6191779999999</v>
      </c>
      <c r="E403" s="3">
        <v>384.88400000000001</v>
      </c>
      <c r="F403" s="3">
        <v>0.1114</v>
      </c>
      <c r="G403" s="3">
        <v>0.890015</v>
      </c>
      <c r="H403" s="1" t="s">
        <v>10</v>
      </c>
    </row>
    <row r="404" spans="1:8" x14ac:dyDescent="0.3">
      <c r="A404" s="1">
        <v>2009</v>
      </c>
      <c r="B404" s="1">
        <v>9</v>
      </c>
      <c r="C404" s="1">
        <v>15</v>
      </c>
      <c r="D404" s="6">
        <v>2009.7041099999999</v>
      </c>
      <c r="E404" s="3">
        <v>385.09899999999999</v>
      </c>
      <c r="F404" s="3">
        <v>0.17130000000000001</v>
      </c>
      <c r="G404" s="3">
        <v>1.12201</v>
      </c>
      <c r="H404" s="1" t="s">
        <v>10</v>
      </c>
    </row>
    <row r="405" spans="1:8" x14ac:dyDescent="0.3">
      <c r="A405" s="1">
        <v>2009</v>
      </c>
      <c r="B405" s="1">
        <v>10</v>
      </c>
      <c r="C405" s="1">
        <v>15</v>
      </c>
      <c r="D405" s="6">
        <v>2009.7863010000001</v>
      </c>
      <c r="E405" s="3">
        <v>385.21199999999999</v>
      </c>
      <c r="F405" s="3">
        <v>7.9200000000000007E-2</v>
      </c>
      <c r="G405" s="3">
        <v>1.51498</v>
      </c>
      <c r="H405" s="1" t="s">
        <v>10</v>
      </c>
    </row>
    <row r="406" spans="1:8" x14ac:dyDescent="0.3">
      <c r="A406" s="1">
        <v>2009</v>
      </c>
      <c r="B406" s="1">
        <v>11</v>
      </c>
      <c r="C406" s="1">
        <v>15</v>
      </c>
      <c r="D406" s="6">
        <v>2009.8712330000001</v>
      </c>
      <c r="E406" s="3">
        <v>385.19</v>
      </c>
      <c r="F406" s="3">
        <v>0.15620000000000001</v>
      </c>
      <c r="G406" s="3">
        <v>1.66998</v>
      </c>
      <c r="H406" s="1" t="s">
        <v>10</v>
      </c>
    </row>
    <row r="407" spans="1:8" x14ac:dyDescent="0.3">
      <c r="A407" s="1">
        <v>2009</v>
      </c>
      <c r="B407" s="1">
        <v>12</v>
      </c>
      <c r="C407" s="1">
        <v>15</v>
      </c>
      <c r="D407" s="6">
        <v>2009.9534249999999</v>
      </c>
      <c r="E407" s="3">
        <v>385.10700000000003</v>
      </c>
      <c r="F407" s="3">
        <v>0.20619999999999999</v>
      </c>
      <c r="G407" s="3">
        <v>1.8850100000000001</v>
      </c>
      <c r="H407" s="1" t="s">
        <v>10</v>
      </c>
    </row>
    <row r="408" spans="1:8" x14ac:dyDescent="0.3">
      <c r="A408" s="1">
        <v>2010</v>
      </c>
      <c r="B408" s="1">
        <v>1</v>
      </c>
      <c r="C408" s="1">
        <v>15</v>
      </c>
      <c r="D408" s="6">
        <v>2010.038356</v>
      </c>
      <c r="E408" s="3">
        <v>385.072</v>
      </c>
      <c r="F408" s="3">
        <v>0.17469999999999999</v>
      </c>
      <c r="G408" s="3">
        <v>2.14899</v>
      </c>
      <c r="H408" s="1" t="s">
        <v>10</v>
      </c>
    </row>
    <row r="409" spans="1:8" x14ac:dyDescent="0.3">
      <c r="A409" s="1">
        <v>2010</v>
      </c>
      <c r="B409" s="1">
        <v>2</v>
      </c>
      <c r="C409" s="1">
        <v>15</v>
      </c>
      <c r="D409" s="6">
        <v>2010.123288</v>
      </c>
      <c r="E409" s="3">
        <v>384.81599999999997</v>
      </c>
      <c r="F409" s="3">
        <v>0.14779999999999999</v>
      </c>
      <c r="G409" s="3">
        <v>2.3279999999999998</v>
      </c>
      <c r="H409" s="1" t="s">
        <v>10</v>
      </c>
    </row>
    <row r="410" spans="1:8" x14ac:dyDescent="0.3">
      <c r="A410" s="1">
        <v>2010</v>
      </c>
      <c r="B410" s="1">
        <v>3</v>
      </c>
      <c r="C410" s="1">
        <v>15</v>
      </c>
      <c r="D410" s="6">
        <v>2010.2</v>
      </c>
      <c r="E410" s="3">
        <v>384.71899999999999</v>
      </c>
      <c r="F410" s="3">
        <v>7.0400000000000004E-2</v>
      </c>
      <c r="G410" s="3">
        <v>2.4609999999999999</v>
      </c>
      <c r="H410" s="1" t="s">
        <v>10</v>
      </c>
    </row>
    <row r="411" spans="1:8" x14ac:dyDescent="0.3">
      <c r="A411" s="1">
        <v>2010</v>
      </c>
      <c r="B411" s="1">
        <v>4</v>
      </c>
      <c r="C411" s="1">
        <v>15</v>
      </c>
      <c r="D411" s="6">
        <v>2010.284932</v>
      </c>
      <c r="E411" s="3">
        <v>385.017</v>
      </c>
      <c r="F411" s="3">
        <v>0.14610000000000001</v>
      </c>
      <c r="G411" s="3">
        <v>2.3439899999999998</v>
      </c>
      <c r="H411" s="1" t="s">
        <v>10</v>
      </c>
    </row>
    <row r="412" spans="1:8" x14ac:dyDescent="0.3">
      <c r="A412" s="1">
        <v>2010</v>
      </c>
      <c r="B412" s="1">
        <v>5</v>
      </c>
      <c r="C412" s="1">
        <v>15</v>
      </c>
      <c r="D412" s="6">
        <v>2010.367123</v>
      </c>
      <c r="E412" s="3">
        <v>385.399</v>
      </c>
      <c r="F412" s="3">
        <v>0.14280000000000001</v>
      </c>
      <c r="G412" s="3">
        <v>2.2179899999999999</v>
      </c>
      <c r="H412" s="1" t="s">
        <v>10</v>
      </c>
    </row>
    <row r="413" spans="1:8" x14ac:dyDescent="0.3">
      <c r="A413" s="1">
        <v>2010</v>
      </c>
      <c r="B413" s="1">
        <v>6</v>
      </c>
      <c r="C413" s="1">
        <v>15</v>
      </c>
      <c r="D413" s="6">
        <v>2010.452055</v>
      </c>
      <c r="E413" s="3">
        <v>385.90300000000002</v>
      </c>
      <c r="F413" s="3">
        <v>0.21079999999999999</v>
      </c>
      <c r="G413" s="3">
        <v>2.0580099999999999</v>
      </c>
      <c r="H413" s="1" t="s">
        <v>10</v>
      </c>
    </row>
    <row r="414" spans="1:8" x14ac:dyDescent="0.3">
      <c r="A414" s="1">
        <v>2010</v>
      </c>
      <c r="B414" s="1">
        <v>7</v>
      </c>
      <c r="C414" s="1">
        <v>15</v>
      </c>
      <c r="D414" s="6">
        <v>2010.5342470000001</v>
      </c>
      <c r="E414" s="3">
        <v>386.56799999999998</v>
      </c>
      <c r="F414" s="3">
        <v>0.3422</v>
      </c>
      <c r="G414" s="3">
        <v>1.94601</v>
      </c>
      <c r="H414" s="1" t="s">
        <v>10</v>
      </c>
    </row>
    <row r="415" spans="1:8" x14ac:dyDescent="0.3">
      <c r="A415" s="1">
        <v>2010</v>
      </c>
      <c r="B415" s="1">
        <v>8</v>
      </c>
      <c r="C415" s="1">
        <v>15</v>
      </c>
      <c r="D415" s="6">
        <v>2010.6191779999999</v>
      </c>
      <c r="E415" s="3">
        <v>387.21199999999999</v>
      </c>
      <c r="F415" s="3">
        <v>0.1724</v>
      </c>
      <c r="G415" s="3">
        <v>2.2749899999999998</v>
      </c>
      <c r="H415" s="1" t="s">
        <v>10</v>
      </c>
    </row>
    <row r="416" spans="1:8" x14ac:dyDescent="0.3">
      <c r="A416" s="1">
        <v>2010</v>
      </c>
      <c r="B416" s="1">
        <v>9</v>
      </c>
      <c r="C416" s="1">
        <v>15</v>
      </c>
      <c r="D416" s="6">
        <v>2010.7041099999999</v>
      </c>
      <c r="E416" s="3">
        <v>387.56</v>
      </c>
      <c r="F416" s="3">
        <v>0.14799999999999999</v>
      </c>
      <c r="G416" s="3">
        <v>2.427</v>
      </c>
      <c r="H416" s="1" t="s">
        <v>10</v>
      </c>
    </row>
    <row r="417" spans="1:8" x14ac:dyDescent="0.3">
      <c r="A417" s="1">
        <v>2010</v>
      </c>
      <c r="B417" s="1">
        <v>10</v>
      </c>
      <c r="C417" s="1">
        <v>15</v>
      </c>
      <c r="D417" s="6">
        <v>2010.7863010000001</v>
      </c>
      <c r="E417" s="3">
        <v>387.55599999999998</v>
      </c>
      <c r="F417" s="3">
        <v>0.1176</v>
      </c>
      <c r="G417" s="3">
        <v>2.1400100000000002</v>
      </c>
      <c r="H417" s="1" t="s">
        <v>10</v>
      </c>
    </row>
    <row r="418" spans="1:8" x14ac:dyDescent="0.3">
      <c r="A418" s="1">
        <v>2010</v>
      </c>
      <c r="B418" s="1">
        <v>11</v>
      </c>
      <c r="C418" s="1">
        <v>15</v>
      </c>
      <c r="D418" s="6">
        <v>2010.8712330000001</v>
      </c>
      <c r="E418" s="3">
        <v>387.40800000000002</v>
      </c>
      <c r="F418" s="3">
        <v>0.1822</v>
      </c>
      <c r="G418" s="3">
        <v>2.0049999999999999</v>
      </c>
      <c r="H418" s="1" t="s">
        <v>10</v>
      </c>
    </row>
    <row r="419" spans="1:8" x14ac:dyDescent="0.3">
      <c r="A419" s="1">
        <v>2010</v>
      </c>
      <c r="B419" s="1">
        <v>12</v>
      </c>
      <c r="C419" s="1">
        <v>15</v>
      </c>
      <c r="D419" s="6">
        <v>2010.9534249999999</v>
      </c>
      <c r="E419" s="3">
        <v>387.16500000000002</v>
      </c>
      <c r="F419" s="3">
        <v>0.13150000000000001</v>
      </c>
      <c r="G419" s="3">
        <v>1.9299900000000001</v>
      </c>
      <c r="H419" s="1" t="s">
        <v>10</v>
      </c>
    </row>
    <row r="420" spans="1:8" x14ac:dyDescent="0.3">
      <c r="A420" s="1">
        <v>2011</v>
      </c>
      <c r="B420" s="1">
        <v>1</v>
      </c>
      <c r="C420" s="1">
        <v>15</v>
      </c>
      <c r="D420" s="6">
        <v>2011.038356</v>
      </c>
      <c r="E420" s="3">
        <v>387.01799999999997</v>
      </c>
      <c r="F420" s="3">
        <v>0.1283</v>
      </c>
      <c r="G420" s="3">
        <v>1.63202</v>
      </c>
      <c r="H420" s="1" t="s">
        <v>10</v>
      </c>
    </row>
    <row r="421" spans="1:8" x14ac:dyDescent="0.3">
      <c r="A421" s="1">
        <v>2011</v>
      </c>
      <c r="B421" s="1">
        <v>2</v>
      </c>
      <c r="C421" s="1">
        <v>15</v>
      </c>
      <c r="D421" s="6">
        <v>2011.123288</v>
      </c>
      <c r="E421" s="3">
        <v>387.09100000000001</v>
      </c>
      <c r="F421" s="3">
        <v>0.18240000000000001</v>
      </c>
      <c r="G421" s="3">
        <v>1.42398</v>
      </c>
      <c r="H421" s="1" t="s">
        <v>10</v>
      </c>
    </row>
    <row r="422" spans="1:8" x14ac:dyDescent="0.3">
      <c r="A422" s="1">
        <v>2011</v>
      </c>
      <c r="B422" s="1">
        <v>3</v>
      </c>
      <c r="C422" s="1">
        <v>15</v>
      </c>
      <c r="D422" s="6">
        <v>2011.2</v>
      </c>
      <c r="E422" s="3">
        <v>387.14600000000002</v>
      </c>
      <c r="F422" s="3">
        <v>0.1699</v>
      </c>
      <c r="G422" s="3">
        <v>1.56799</v>
      </c>
      <c r="H422" s="1" t="s">
        <v>10</v>
      </c>
    </row>
    <row r="423" spans="1:8" x14ac:dyDescent="0.3">
      <c r="A423" s="1">
        <v>2011</v>
      </c>
      <c r="B423" s="1">
        <v>4</v>
      </c>
      <c r="C423" s="1">
        <v>15</v>
      </c>
      <c r="D423" s="6">
        <v>2011.284932</v>
      </c>
      <c r="E423" s="3">
        <v>387.15699999999998</v>
      </c>
      <c r="F423" s="3">
        <v>2.5499999999999998E-2</v>
      </c>
      <c r="G423" s="3">
        <v>1.70499</v>
      </c>
      <c r="H423" s="1" t="s">
        <v>10</v>
      </c>
    </row>
    <row r="424" spans="1:8" x14ac:dyDescent="0.3">
      <c r="A424" s="1">
        <v>2011</v>
      </c>
      <c r="B424" s="1">
        <v>5</v>
      </c>
      <c r="C424" s="1">
        <v>15</v>
      </c>
      <c r="D424" s="6">
        <v>2011.367123</v>
      </c>
      <c r="E424" s="3">
        <v>387.404</v>
      </c>
      <c r="F424" s="3">
        <v>0.129</v>
      </c>
      <c r="G424" s="3">
        <v>1.6639999999999999</v>
      </c>
      <c r="H424" s="1" t="s">
        <v>10</v>
      </c>
    </row>
    <row r="425" spans="1:8" x14ac:dyDescent="0.3">
      <c r="A425" s="1">
        <v>2011</v>
      </c>
      <c r="B425" s="1">
        <v>6</v>
      </c>
      <c r="C425" s="1">
        <v>15</v>
      </c>
      <c r="D425" s="6">
        <v>2011.452055</v>
      </c>
      <c r="E425" s="3">
        <v>387.83300000000003</v>
      </c>
      <c r="F425" s="3">
        <v>0.1182</v>
      </c>
      <c r="G425" s="3">
        <v>1.7779799999999999</v>
      </c>
      <c r="H425" s="1" t="s">
        <v>10</v>
      </c>
    </row>
    <row r="426" spans="1:8" x14ac:dyDescent="0.3">
      <c r="A426" s="1">
        <v>2011</v>
      </c>
      <c r="B426" s="1">
        <v>7</v>
      </c>
      <c r="C426" s="1">
        <v>15</v>
      </c>
      <c r="D426" s="6">
        <v>2011.5342470000001</v>
      </c>
      <c r="E426" s="3">
        <v>388.2</v>
      </c>
      <c r="F426" s="3">
        <v>0.115</v>
      </c>
      <c r="G426" s="3">
        <v>1.79999</v>
      </c>
      <c r="H426" s="1" t="s">
        <v>10</v>
      </c>
    </row>
    <row r="427" spans="1:8" x14ac:dyDescent="0.3">
      <c r="A427" s="1">
        <v>2011</v>
      </c>
      <c r="B427" s="1">
        <v>8</v>
      </c>
      <c r="C427" s="1">
        <v>15</v>
      </c>
      <c r="D427" s="6">
        <v>2011.6191779999999</v>
      </c>
      <c r="E427" s="3">
        <v>388.63600000000002</v>
      </c>
      <c r="F427" s="3">
        <v>0.16239999999999999</v>
      </c>
      <c r="G427" s="3">
        <v>1.698</v>
      </c>
      <c r="H427" s="1" t="s">
        <v>10</v>
      </c>
    </row>
    <row r="428" spans="1:8" x14ac:dyDescent="0.3">
      <c r="A428" s="1">
        <v>2011</v>
      </c>
      <c r="B428" s="1">
        <v>9</v>
      </c>
      <c r="C428" s="1">
        <v>15</v>
      </c>
      <c r="D428" s="6">
        <v>2011.7041099999999</v>
      </c>
      <c r="E428" s="3">
        <v>389.12799999999999</v>
      </c>
      <c r="F428" s="3">
        <v>0.17910000000000001</v>
      </c>
      <c r="G428" s="3">
        <v>1.6799900000000001</v>
      </c>
      <c r="H428" s="1" t="s">
        <v>10</v>
      </c>
    </row>
    <row r="429" spans="1:8" x14ac:dyDescent="0.3">
      <c r="A429" s="1">
        <v>2011</v>
      </c>
      <c r="B429" s="1">
        <v>10</v>
      </c>
      <c r="C429" s="1">
        <v>15</v>
      </c>
      <c r="D429" s="6">
        <v>2011.7863010000001</v>
      </c>
      <c r="E429" s="3">
        <v>389.26100000000002</v>
      </c>
      <c r="F429" s="3">
        <v>0.16309999999999999</v>
      </c>
      <c r="G429" s="3">
        <v>1.8429899999999999</v>
      </c>
      <c r="H429" s="1" t="s">
        <v>10</v>
      </c>
    </row>
    <row r="430" spans="1:8" x14ac:dyDescent="0.3">
      <c r="A430" s="1">
        <v>2011</v>
      </c>
      <c r="B430" s="1">
        <v>11</v>
      </c>
      <c r="C430" s="1">
        <v>15</v>
      </c>
      <c r="D430" s="6">
        <v>2011.8712330000001</v>
      </c>
      <c r="E430" s="3">
        <v>389.072</v>
      </c>
      <c r="F430" s="3">
        <v>9.6500000000000002E-2</v>
      </c>
      <c r="G430" s="3">
        <v>1.883</v>
      </c>
      <c r="H430" s="1" t="s">
        <v>10</v>
      </c>
    </row>
    <row r="431" spans="1:8" x14ac:dyDescent="0.3">
      <c r="A431" s="1">
        <v>2011</v>
      </c>
      <c r="B431" s="1">
        <v>12</v>
      </c>
      <c r="C431" s="1">
        <v>15</v>
      </c>
      <c r="D431" s="6">
        <v>2011.9534249999999</v>
      </c>
      <c r="E431" s="3">
        <v>388.94299999999998</v>
      </c>
      <c r="F431" s="3">
        <v>6.1499999999999999E-2</v>
      </c>
      <c r="G431" s="3">
        <v>1.879</v>
      </c>
      <c r="H431" s="1" t="s">
        <v>10</v>
      </c>
    </row>
    <row r="432" spans="1:8" x14ac:dyDescent="0.3">
      <c r="A432" s="1">
        <v>2012</v>
      </c>
      <c r="B432" s="1">
        <v>1</v>
      </c>
      <c r="C432" s="1">
        <v>15</v>
      </c>
      <c r="D432" s="6">
        <v>2012.0382509999999</v>
      </c>
      <c r="E432" s="3">
        <v>388.81799999999998</v>
      </c>
      <c r="F432" s="3">
        <v>6.9400000000000003E-2</v>
      </c>
      <c r="G432" s="3">
        <v>2.177</v>
      </c>
      <c r="H432" s="1" t="s">
        <v>10</v>
      </c>
    </row>
    <row r="433" spans="1:8" x14ac:dyDescent="0.3">
      <c r="A433" s="1">
        <v>2012</v>
      </c>
      <c r="B433" s="1">
        <v>2</v>
      </c>
      <c r="C433" s="1">
        <v>15</v>
      </c>
      <c r="D433" s="6">
        <v>2012.1229510000001</v>
      </c>
      <c r="E433" s="3">
        <v>388.78899999999999</v>
      </c>
      <c r="F433" s="3">
        <v>0.1401</v>
      </c>
      <c r="G433" s="3">
        <v>2.4140000000000001</v>
      </c>
      <c r="H433" s="1" t="s">
        <v>10</v>
      </c>
    </row>
    <row r="434" spans="1:8" x14ac:dyDescent="0.3">
      <c r="A434" s="1">
        <v>2012</v>
      </c>
      <c r="B434" s="1">
        <v>3</v>
      </c>
      <c r="C434" s="1">
        <v>15</v>
      </c>
      <c r="D434" s="6">
        <v>2012.202186</v>
      </c>
      <c r="E434" s="3">
        <v>388.82600000000002</v>
      </c>
      <c r="F434" s="3">
        <v>0.12959999999999999</v>
      </c>
      <c r="G434" s="3">
        <v>2.35101</v>
      </c>
      <c r="H434" s="1" t="s">
        <v>10</v>
      </c>
    </row>
    <row r="435" spans="1:8" x14ac:dyDescent="0.3">
      <c r="A435" s="1">
        <v>2012</v>
      </c>
      <c r="B435" s="1">
        <v>4</v>
      </c>
      <c r="C435" s="1">
        <v>15</v>
      </c>
      <c r="D435" s="6">
        <v>2012.286885</v>
      </c>
      <c r="E435" s="3">
        <v>389</v>
      </c>
      <c r="F435" s="3">
        <v>9.1399999999999995E-2</v>
      </c>
      <c r="G435" s="3">
        <v>2.2570199999999998</v>
      </c>
      <c r="H435" s="1" t="s">
        <v>10</v>
      </c>
    </row>
    <row r="436" spans="1:8" x14ac:dyDescent="0.3">
      <c r="A436" s="1">
        <v>2012</v>
      </c>
      <c r="B436" s="1">
        <v>5</v>
      </c>
      <c r="C436" s="1">
        <v>15</v>
      </c>
      <c r="D436" s="6">
        <v>2012.3688520000001</v>
      </c>
      <c r="E436" s="3">
        <v>389.28699999999998</v>
      </c>
      <c r="F436" s="3">
        <v>0.1148</v>
      </c>
      <c r="G436" s="3">
        <v>2.24701</v>
      </c>
      <c r="H436" s="1" t="s">
        <v>10</v>
      </c>
    </row>
    <row r="437" spans="1:8" x14ac:dyDescent="0.3">
      <c r="A437" s="1">
        <v>2012</v>
      </c>
      <c r="B437" s="1">
        <v>6</v>
      </c>
      <c r="C437" s="1">
        <v>15</v>
      </c>
      <c r="D437" s="6">
        <v>2012.4535519999999</v>
      </c>
      <c r="E437" s="3">
        <v>389.71199999999999</v>
      </c>
      <c r="F437" s="3">
        <v>0.21390000000000001</v>
      </c>
      <c r="G437" s="3">
        <v>2.2940100000000001</v>
      </c>
      <c r="H437" s="1" t="s">
        <v>10</v>
      </c>
    </row>
    <row r="438" spans="1:8" x14ac:dyDescent="0.3">
      <c r="A438" s="1">
        <v>2012</v>
      </c>
      <c r="B438" s="1">
        <v>7</v>
      </c>
      <c r="C438" s="1">
        <v>15</v>
      </c>
      <c r="D438" s="6">
        <v>2012.535519</v>
      </c>
      <c r="E438" s="3">
        <v>390.37700000000001</v>
      </c>
      <c r="F438" s="3">
        <v>0.22409999999999999</v>
      </c>
      <c r="G438" s="3">
        <v>2.48001</v>
      </c>
      <c r="H438" s="1" t="s">
        <v>10</v>
      </c>
    </row>
    <row r="439" spans="1:8" x14ac:dyDescent="0.3">
      <c r="A439" s="1">
        <v>2012</v>
      </c>
      <c r="B439" s="1">
        <v>8</v>
      </c>
      <c r="C439" s="1">
        <v>15</v>
      </c>
      <c r="D439" s="6">
        <v>2012.6202189999999</v>
      </c>
      <c r="E439" s="3">
        <v>391.05</v>
      </c>
      <c r="F439" s="3">
        <v>0.20039999999999999</v>
      </c>
      <c r="G439" s="3">
        <v>2.7410000000000001</v>
      </c>
      <c r="H439" s="1" t="s">
        <v>10</v>
      </c>
    </row>
    <row r="440" spans="1:8" x14ac:dyDescent="0.3">
      <c r="A440" s="1">
        <v>2012</v>
      </c>
      <c r="B440" s="1">
        <v>9</v>
      </c>
      <c r="C440" s="1">
        <v>15</v>
      </c>
      <c r="D440" s="6">
        <v>2012.7049179999999</v>
      </c>
      <c r="E440" s="3">
        <v>391.47899999999998</v>
      </c>
      <c r="F440" s="3">
        <v>0.1099</v>
      </c>
      <c r="G440" s="3">
        <v>3.0310100000000002</v>
      </c>
      <c r="H440" s="1" t="s">
        <v>10</v>
      </c>
    </row>
    <row r="441" spans="1:8" x14ac:dyDescent="0.3">
      <c r="A441" s="1">
        <v>2012</v>
      </c>
      <c r="B441" s="1">
        <v>10</v>
      </c>
      <c r="C441" s="1">
        <v>15</v>
      </c>
      <c r="D441" s="6">
        <v>2012.786885</v>
      </c>
      <c r="E441" s="3">
        <v>391.51799999999997</v>
      </c>
      <c r="F441" s="3">
        <v>7.85E-2</v>
      </c>
      <c r="G441" s="3">
        <v>3.16</v>
      </c>
      <c r="H441" s="1" t="s">
        <v>10</v>
      </c>
    </row>
    <row r="442" spans="1:8" x14ac:dyDescent="0.3">
      <c r="A442" s="1">
        <v>2012</v>
      </c>
      <c r="B442" s="1">
        <v>11</v>
      </c>
      <c r="C442" s="1">
        <v>15</v>
      </c>
      <c r="D442" s="6">
        <v>2012.8715850000001</v>
      </c>
      <c r="E442" s="3">
        <v>391.31900000000002</v>
      </c>
      <c r="F442" s="3">
        <v>0.18110000000000001</v>
      </c>
      <c r="G442" s="3">
        <v>3.1800199999999998</v>
      </c>
      <c r="H442" s="1" t="s">
        <v>10</v>
      </c>
    </row>
    <row r="443" spans="1:8" x14ac:dyDescent="0.3">
      <c r="A443" s="1">
        <v>2012</v>
      </c>
      <c r="B443" s="1">
        <v>12</v>
      </c>
      <c r="C443" s="1">
        <v>15</v>
      </c>
      <c r="D443" s="6">
        <v>2012.9535519999999</v>
      </c>
      <c r="E443" s="3">
        <v>391.23700000000002</v>
      </c>
      <c r="F443" s="3">
        <v>6.3100000000000003E-2</v>
      </c>
      <c r="G443" s="3">
        <v>3.0910000000000002</v>
      </c>
      <c r="H443" s="1" t="s">
        <v>10</v>
      </c>
    </row>
    <row r="444" spans="1:8" x14ac:dyDescent="0.3">
      <c r="A444" s="1">
        <v>2013</v>
      </c>
      <c r="B444" s="1">
        <v>1</v>
      </c>
      <c r="C444" s="1">
        <v>15</v>
      </c>
      <c r="D444" s="6">
        <v>2013.03836</v>
      </c>
      <c r="E444" s="3">
        <v>391.298</v>
      </c>
      <c r="F444" s="3">
        <v>0.151</v>
      </c>
      <c r="G444" s="3">
        <v>3.0099800000000001</v>
      </c>
      <c r="H444" s="1" t="s">
        <v>9</v>
      </c>
    </row>
    <row r="445" spans="1:8" x14ac:dyDescent="0.3">
      <c r="A445" s="1">
        <v>2013</v>
      </c>
      <c r="B445" s="1">
        <v>2</v>
      </c>
      <c r="C445" s="1">
        <v>15</v>
      </c>
      <c r="D445" s="6">
        <v>2013.12329</v>
      </c>
      <c r="E445" s="3">
        <v>391.53</v>
      </c>
      <c r="F445" s="3">
        <v>0.217</v>
      </c>
      <c r="G445" s="3">
        <v>2.84402</v>
      </c>
      <c r="H445" s="1" t="s">
        <v>9</v>
      </c>
    </row>
    <row r="446" spans="1:8" x14ac:dyDescent="0.3">
      <c r="A446" s="1">
        <v>2013</v>
      </c>
      <c r="B446" s="1">
        <v>3</v>
      </c>
      <c r="C446" s="1">
        <v>15</v>
      </c>
      <c r="D446" s="6">
        <v>2013.2</v>
      </c>
      <c r="E446" s="3">
        <v>391.85700000000003</v>
      </c>
      <c r="F446" s="3">
        <v>0.18099999999999999</v>
      </c>
      <c r="G446" s="3">
        <v>2.5910000000000002</v>
      </c>
      <c r="H446" s="1" t="s">
        <v>9</v>
      </c>
    </row>
    <row r="447" spans="1:8" x14ac:dyDescent="0.3">
      <c r="A447" s="1">
        <v>2013</v>
      </c>
      <c r="B447" s="1">
        <v>4</v>
      </c>
      <c r="C447" s="1">
        <v>15</v>
      </c>
      <c r="D447" s="6">
        <v>2013.28493</v>
      </c>
      <c r="E447" s="3">
        <v>392.16</v>
      </c>
      <c r="F447" s="3">
        <v>0.16500000000000001</v>
      </c>
      <c r="G447" s="3">
        <v>2.5879799999999999</v>
      </c>
      <c r="H447" s="1" t="s">
        <v>9</v>
      </c>
    </row>
    <row r="448" spans="1:8" x14ac:dyDescent="0.3">
      <c r="A448" s="1">
        <v>2013</v>
      </c>
      <c r="B448" s="1">
        <v>5</v>
      </c>
      <c r="C448" s="1">
        <v>15</v>
      </c>
      <c r="D448" s="6">
        <v>2013.3671200000001</v>
      </c>
      <c r="E448" s="3">
        <v>392.46699999999998</v>
      </c>
      <c r="F448" s="3">
        <v>0.154</v>
      </c>
      <c r="G448" s="3">
        <v>2.76999</v>
      </c>
      <c r="H448" s="1" t="s">
        <v>9</v>
      </c>
    </row>
    <row r="449" spans="1:8" x14ac:dyDescent="0.3">
      <c r="A449" s="1">
        <v>2013</v>
      </c>
      <c r="B449" s="1">
        <v>6</v>
      </c>
      <c r="C449" s="1">
        <v>15</v>
      </c>
      <c r="D449" s="6">
        <v>2013.4520500000001</v>
      </c>
      <c r="E449" s="3">
        <v>392.803</v>
      </c>
      <c r="F449" s="3">
        <v>0.188</v>
      </c>
      <c r="G449" s="3">
        <v>2.7090100000000001</v>
      </c>
      <c r="H449" s="1" t="s">
        <v>9</v>
      </c>
    </row>
    <row r="450" spans="1:8" x14ac:dyDescent="0.3">
      <c r="A450" s="1">
        <v>2013</v>
      </c>
      <c r="B450" s="1">
        <v>7</v>
      </c>
      <c r="C450" s="1">
        <v>15</v>
      </c>
      <c r="D450" s="6">
        <v>2013.5342499999999</v>
      </c>
      <c r="E450" s="3">
        <v>393.387</v>
      </c>
      <c r="F450" s="3">
        <v>0.23499999999999999</v>
      </c>
      <c r="G450" s="3">
        <v>2.4910000000000001</v>
      </c>
      <c r="H450" s="1" t="s">
        <v>9</v>
      </c>
    </row>
    <row r="451" spans="1:8" x14ac:dyDescent="0.3">
      <c r="A451" s="1">
        <v>2013</v>
      </c>
      <c r="B451" s="1">
        <v>8</v>
      </c>
      <c r="C451" s="1">
        <v>15</v>
      </c>
      <c r="D451" s="6">
        <v>2013.6191799999999</v>
      </c>
      <c r="E451" s="3">
        <v>393.89400000000001</v>
      </c>
      <c r="F451" s="3">
        <v>0.11700000000000001</v>
      </c>
      <c r="G451" s="3">
        <v>2.2910200000000001</v>
      </c>
      <c r="H451" s="1" t="s">
        <v>9</v>
      </c>
    </row>
    <row r="452" spans="1:8" x14ac:dyDescent="0.3">
      <c r="A452" s="1">
        <v>2013</v>
      </c>
      <c r="B452" s="1">
        <v>9</v>
      </c>
      <c r="C452" s="1">
        <v>15</v>
      </c>
      <c r="D452" s="6">
        <v>2013.7041099999999</v>
      </c>
      <c r="E452" s="3">
        <v>394.07</v>
      </c>
      <c r="F452" s="3">
        <v>0.11799999999999999</v>
      </c>
      <c r="G452" s="3">
        <v>2.1450200000000001</v>
      </c>
      <c r="H452" s="1" t="s">
        <v>9</v>
      </c>
    </row>
    <row r="453" spans="1:8" x14ac:dyDescent="0.3">
      <c r="A453" s="1">
        <v>2013</v>
      </c>
      <c r="B453" s="1">
        <v>10</v>
      </c>
      <c r="C453" s="1">
        <v>15</v>
      </c>
      <c r="D453" s="6">
        <v>2013.7863</v>
      </c>
      <c r="E453" s="3">
        <v>394.10599999999999</v>
      </c>
      <c r="F453" s="3">
        <v>0.10199999999999999</v>
      </c>
      <c r="G453" s="3">
        <v>2.0470000000000002</v>
      </c>
      <c r="H453" s="1" t="s">
        <v>9</v>
      </c>
    </row>
    <row r="454" spans="1:8" x14ac:dyDescent="0.3">
      <c r="A454" s="1">
        <v>2013</v>
      </c>
      <c r="B454" s="1">
        <v>11</v>
      </c>
      <c r="C454" s="1">
        <v>15</v>
      </c>
      <c r="D454" s="6">
        <v>2013.87123</v>
      </c>
      <c r="E454" s="3">
        <v>394.089</v>
      </c>
      <c r="F454" s="3">
        <v>0.11799999999999999</v>
      </c>
      <c r="G454" s="3">
        <v>1.9119900000000001</v>
      </c>
      <c r="H454" s="1" t="s">
        <v>9</v>
      </c>
    </row>
    <row r="455" spans="1:8" x14ac:dyDescent="0.3">
      <c r="A455" s="1">
        <v>2013</v>
      </c>
      <c r="B455" s="1">
        <v>12</v>
      </c>
      <c r="C455" s="1">
        <v>15</v>
      </c>
      <c r="D455" s="6">
        <v>2013.9534200000001</v>
      </c>
      <c r="E455" s="3">
        <v>393.94600000000003</v>
      </c>
      <c r="F455" s="3">
        <v>0.16800000000000001</v>
      </c>
      <c r="G455" s="3">
        <v>1.9819899999999999</v>
      </c>
      <c r="H455" s="1" t="s">
        <v>9</v>
      </c>
    </row>
    <row r="456" spans="1:8" x14ac:dyDescent="0.3">
      <c r="A456" s="1">
        <v>2014</v>
      </c>
      <c r="B456" s="1">
        <v>1</v>
      </c>
      <c r="C456" s="1">
        <v>15</v>
      </c>
      <c r="D456" s="6">
        <v>2014.03836</v>
      </c>
      <c r="E456" s="3">
        <v>393.78899999999999</v>
      </c>
      <c r="F456" s="3">
        <v>0.157</v>
      </c>
      <c r="G456" s="3">
        <v>1.9530000000000001</v>
      </c>
      <c r="H456" s="1" t="s">
        <v>9</v>
      </c>
    </row>
    <row r="457" spans="1:8" x14ac:dyDescent="0.3">
      <c r="A457" s="1">
        <v>2014</v>
      </c>
      <c r="B457" s="1">
        <v>2</v>
      </c>
      <c r="C457" s="1">
        <v>15</v>
      </c>
      <c r="D457" s="6">
        <v>2014.12329</v>
      </c>
      <c r="E457" s="3">
        <v>393.82100000000003</v>
      </c>
      <c r="F457" s="3">
        <v>0.19</v>
      </c>
      <c r="G457" s="3">
        <v>1.8859900000000001</v>
      </c>
      <c r="H457" s="1" t="s">
        <v>9</v>
      </c>
    </row>
    <row r="458" spans="1:8" x14ac:dyDescent="0.3">
      <c r="A458" s="1">
        <v>2014</v>
      </c>
      <c r="B458" s="1">
        <v>3</v>
      </c>
      <c r="C458" s="1">
        <v>15</v>
      </c>
      <c r="D458" s="6">
        <v>2014.2</v>
      </c>
      <c r="E458" s="3">
        <v>394.00200000000001</v>
      </c>
      <c r="F458" s="3">
        <v>0.17</v>
      </c>
      <c r="G458" s="3">
        <v>1.92798</v>
      </c>
      <c r="H458" s="1" t="s">
        <v>9</v>
      </c>
    </row>
    <row r="459" spans="1:8" x14ac:dyDescent="0.3">
      <c r="A459" s="1">
        <v>2014</v>
      </c>
      <c r="B459" s="1">
        <v>4</v>
      </c>
      <c r="C459" s="1">
        <v>15</v>
      </c>
      <c r="D459" s="6">
        <v>2014.28493</v>
      </c>
      <c r="E459" s="3">
        <v>394.20699999999999</v>
      </c>
      <c r="F459" s="3">
        <v>9.9000000000000005E-2</v>
      </c>
      <c r="G459" s="3">
        <v>1.8870199999999999</v>
      </c>
      <c r="H459" s="1" t="s">
        <v>9</v>
      </c>
    </row>
    <row r="460" spans="1:8" x14ac:dyDescent="0.3">
      <c r="A460" s="1">
        <v>2014</v>
      </c>
      <c r="B460" s="1">
        <v>5</v>
      </c>
      <c r="C460" s="1">
        <v>15</v>
      </c>
      <c r="D460" s="6">
        <v>2014.3671200000001</v>
      </c>
      <c r="E460" s="3">
        <v>394.37900000000002</v>
      </c>
      <c r="F460" s="3">
        <v>0.11</v>
      </c>
      <c r="G460" s="3">
        <v>1.8620000000000001</v>
      </c>
      <c r="H460" s="1" t="s">
        <v>9</v>
      </c>
    </row>
    <row r="461" spans="1:8" x14ac:dyDescent="0.3">
      <c r="A461" s="1">
        <v>2014</v>
      </c>
      <c r="B461" s="1">
        <v>6</v>
      </c>
      <c r="C461" s="1">
        <v>15</v>
      </c>
      <c r="D461" s="6">
        <v>2014.4520500000001</v>
      </c>
      <c r="E461" s="3">
        <v>394.78500000000003</v>
      </c>
      <c r="F461" s="3">
        <v>0.192</v>
      </c>
      <c r="G461" s="3">
        <v>1.93997</v>
      </c>
      <c r="H461" s="1" t="s">
        <v>9</v>
      </c>
    </row>
    <row r="462" spans="1:8" x14ac:dyDescent="0.3">
      <c r="A462" s="1">
        <v>2014</v>
      </c>
      <c r="B462" s="1">
        <v>7</v>
      </c>
      <c r="C462" s="1">
        <v>15</v>
      </c>
      <c r="D462" s="6">
        <v>2014.5342499999999</v>
      </c>
      <c r="E462" s="3">
        <v>395.34</v>
      </c>
      <c r="F462" s="3">
        <v>0.20200000000000001</v>
      </c>
      <c r="G462" s="3">
        <v>2.1310099999999998</v>
      </c>
      <c r="H462" s="1" t="s">
        <v>9</v>
      </c>
    </row>
    <row r="463" spans="1:8" x14ac:dyDescent="0.3">
      <c r="A463" s="1">
        <v>2014</v>
      </c>
      <c r="B463" s="1">
        <v>8</v>
      </c>
      <c r="C463" s="1">
        <v>15</v>
      </c>
      <c r="D463" s="6">
        <v>2014.6191799999999</v>
      </c>
      <c r="E463" s="3">
        <v>395.78</v>
      </c>
      <c r="F463" s="3">
        <v>0.14000000000000001</v>
      </c>
      <c r="G463" s="3">
        <v>2.2439900000000002</v>
      </c>
      <c r="H463" s="1" t="s">
        <v>9</v>
      </c>
    </row>
    <row r="464" spans="1:8" x14ac:dyDescent="0.3">
      <c r="A464" s="1">
        <v>2014</v>
      </c>
      <c r="B464" s="1">
        <v>9</v>
      </c>
      <c r="C464" s="1">
        <v>15</v>
      </c>
      <c r="D464" s="6">
        <v>2014.7041099999999</v>
      </c>
      <c r="E464" s="3">
        <v>395.99799999999999</v>
      </c>
      <c r="F464" s="3">
        <v>0.129</v>
      </c>
      <c r="G464" s="3">
        <v>2.1989700000000001</v>
      </c>
      <c r="H464" s="1" t="s">
        <v>9</v>
      </c>
    </row>
    <row r="465" spans="1:8" x14ac:dyDescent="0.3">
      <c r="A465" s="1">
        <v>2014</v>
      </c>
      <c r="B465" s="1">
        <v>10</v>
      </c>
      <c r="C465" s="1">
        <v>15</v>
      </c>
      <c r="D465" s="6">
        <v>2014.7863</v>
      </c>
      <c r="E465" s="3">
        <v>395.99299999999999</v>
      </c>
      <c r="F465" s="3">
        <v>0.14099999999999999</v>
      </c>
      <c r="G465" s="3">
        <v>2.319</v>
      </c>
      <c r="H465" s="1" t="s">
        <v>9</v>
      </c>
    </row>
    <row r="466" spans="1:8" x14ac:dyDescent="0.3">
      <c r="A466" s="1">
        <v>2014</v>
      </c>
      <c r="B466" s="1">
        <v>11</v>
      </c>
      <c r="C466" s="1">
        <v>15</v>
      </c>
      <c r="D466" s="6">
        <v>2014.87123</v>
      </c>
      <c r="E466" s="3">
        <v>395.95100000000002</v>
      </c>
      <c r="F466" s="3">
        <v>9.5000000000000001E-2</v>
      </c>
      <c r="G466" s="3">
        <v>2.5660099999999999</v>
      </c>
      <c r="H466" s="1" t="s">
        <v>9</v>
      </c>
    </row>
    <row r="467" spans="1:8" x14ac:dyDescent="0.3">
      <c r="A467" s="1">
        <v>2014</v>
      </c>
      <c r="B467" s="1">
        <v>12</v>
      </c>
      <c r="C467" s="1">
        <v>15</v>
      </c>
      <c r="D467" s="6">
        <v>2014.9534200000001</v>
      </c>
      <c r="E467" s="3">
        <v>395.88600000000002</v>
      </c>
      <c r="F467" s="3">
        <v>0.16600000000000001</v>
      </c>
      <c r="G467" s="3">
        <v>2.4729899999999998</v>
      </c>
      <c r="H467" s="1" t="s">
        <v>9</v>
      </c>
    </row>
    <row r="468" spans="1:8" x14ac:dyDescent="0.3">
      <c r="A468" s="1">
        <v>2015</v>
      </c>
      <c r="B468" s="1">
        <v>1</v>
      </c>
      <c r="C468" s="1">
        <v>15</v>
      </c>
      <c r="D468" s="6">
        <v>2015.03836</v>
      </c>
      <c r="E468" s="3">
        <v>395.92</v>
      </c>
      <c r="F468" s="3">
        <v>0.18099999999999999</v>
      </c>
      <c r="G468" s="3">
        <v>2.4160200000000001</v>
      </c>
      <c r="H468" s="1" t="s">
        <v>9</v>
      </c>
    </row>
    <row r="469" spans="1:8" x14ac:dyDescent="0.3">
      <c r="A469" s="1">
        <v>2015</v>
      </c>
      <c r="B469" s="1">
        <v>2</v>
      </c>
      <c r="C469" s="1">
        <v>15</v>
      </c>
      <c r="D469" s="6">
        <v>2015.12329</v>
      </c>
      <c r="E469" s="3">
        <v>396.065</v>
      </c>
      <c r="F469" s="3">
        <v>0.18</v>
      </c>
      <c r="G469" s="3">
        <v>2.5369899999999999</v>
      </c>
      <c r="H469" s="1" t="s">
        <v>9</v>
      </c>
    </row>
    <row r="470" spans="1:8" x14ac:dyDescent="0.3">
      <c r="A470" s="1">
        <v>2015</v>
      </c>
      <c r="B470" s="1">
        <v>3</v>
      </c>
      <c r="C470" s="1">
        <v>15</v>
      </c>
      <c r="D470" s="6">
        <v>2015.2</v>
      </c>
      <c r="E470" s="3">
        <v>396.20100000000002</v>
      </c>
      <c r="F470" s="3">
        <v>0.153</v>
      </c>
      <c r="G470" s="3">
        <v>2.5060099999999998</v>
      </c>
      <c r="H470" s="1" t="s">
        <v>9</v>
      </c>
    </row>
    <row r="471" spans="1:8" x14ac:dyDescent="0.3">
      <c r="A471" s="1">
        <v>2015</v>
      </c>
      <c r="B471" s="1">
        <v>4</v>
      </c>
      <c r="C471" s="1">
        <v>15</v>
      </c>
      <c r="D471" s="6">
        <v>2015.28493</v>
      </c>
      <c r="E471" s="3">
        <v>396.52600000000001</v>
      </c>
      <c r="F471" s="3">
        <v>0.16300000000000001</v>
      </c>
      <c r="G471" s="3">
        <v>2.5499900000000002</v>
      </c>
      <c r="H471" s="1" t="s">
        <v>9</v>
      </c>
    </row>
    <row r="472" spans="1:8" x14ac:dyDescent="0.3">
      <c r="A472" s="1">
        <v>2015</v>
      </c>
      <c r="B472" s="1">
        <v>5</v>
      </c>
      <c r="C472" s="1">
        <v>15</v>
      </c>
      <c r="D472" s="6">
        <v>2015.3671200000001</v>
      </c>
      <c r="E472" s="3">
        <v>396.94499999999999</v>
      </c>
      <c r="F472" s="3">
        <v>0.14799999999999999</v>
      </c>
      <c r="G472" s="3">
        <v>2.7160000000000002</v>
      </c>
      <c r="H472" s="1" t="s">
        <v>9</v>
      </c>
    </row>
    <row r="473" spans="1:8" x14ac:dyDescent="0.3">
      <c r="A473" s="1">
        <v>2015</v>
      </c>
      <c r="B473" s="1">
        <v>6</v>
      </c>
      <c r="C473" s="1">
        <v>15</v>
      </c>
      <c r="D473" s="6">
        <v>2015.4520500000001</v>
      </c>
      <c r="E473" s="3">
        <v>397.25799999999998</v>
      </c>
      <c r="F473" s="3">
        <v>0.193</v>
      </c>
      <c r="G473" s="3">
        <v>2.8870200000000001</v>
      </c>
      <c r="H473" s="1" t="s">
        <v>9</v>
      </c>
    </row>
    <row r="474" spans="1:8" x14ac:dyDescent="0.3">
      <c r="A474" s="1">
        <v>2015</v>
      </c>
      <c r="B474" s="1">
        <v>7</v>
      </c>
      <c r="C474" s="1">
        <v>15</v>
      </c>
      <c r="D474" s="6">
        <v>2015.5342499999999</v>
      </c>
      <c r="E474" s="3">
        <v>397.75599999999997</v>
      </c>
      <c r="F474" s="3">
        <v>0.214</v>
      </c>
      <c r="G474" s="3">
        <v>2.9819900000000001</v>
      </c>
      <c r="H474" s="1" t="s">
        <v>9</v>
      </c>
    </row>
    <row r="475" spans="1:8" x14ac:dyDescent="0.3">
      <c r="A475" s="1">
        <v>2015</v>
      </c>
      <c r="B475" s="1">
        <v>8</v>
      </c>
      <c r="C475" s="1">
        <v>15</v>
      </c>
      <c r="D475" s="6">
        <v>2015.6191799999999</v>
      </c>
      <c r="E475" s="3">
        <v>398.31700000000001</v>
      </c>
      <c r="F475" s="3">
        <v>0.159</v>
      </c>
      <c r="G475" s="3">
        <v>3.0129999999999999</v>
      </c>
      <c r="H475" s="1" t="s">
        <v>9</v>
      </c>
    </row>
    <row r="476" spans="1:8" x14ac:dyDescent="0.3">
      <c r="A476" s="1">
        <v>2015</v>
      </c>
      <c r="B476" s="1">
        <v>9</v>
      </c>
      <c r="C476" s="1">
        <v>15</v>
      </c>
      <c r="D476" s="6">
        <v>2015.7041099999999</v>
      </c>
      <c r="E476" s="3">
        <v>398.50400000000002</v>
      </c>
      <c r="F476" s="3">
        <v>0.16600000000000001</v>
      </c>
      <c r="G476" s="3">
        <v>3.1310099999999998</v>
      </c>
      <c r="H476" s="1" t="s">
        <v>9</v>
      </c>
    </row>
    <row r="477" spans="1:8" x14ac:dyDescent="0.3">
      <c r="A477" s="1">
        <v>2015</v>
      </c>
      <c r="B477" s="1">
        <v>10</v>
      </c>
      <c r="C477" s="1">
        <v>15</v>
      </c>
      <c r="D477" s="6">
        <v>2015.7863</v>
      </c>
      <c r="E477" s="3">
        <v>398.54300000000001</v>
      </c>
      <c r="F477" s="3">
        <v>0.13900000000000001</v>
      </c>
      <c r="G477" s="3">
        <v>3.2560099999999998</v>
      </c>
      <c r="H477" s="1" t="s">
        <v>9</v>
      </c>
    </row>
    <row r="478" spans="1:8" x14ac:dyDescent="0.3">
      <c r="A478" s="1">
        <v>2015</v>
      </c>
      <c r="B478" s="1">
        <v>11</v>
      </c>
      <c r="C478" s="1">
        <v>15</v>
      </c>
      <c r="D478" s="6">
        <v>2015.87123</v>
      </c>
      <c r="E478" s="3">
        <v>398.66699999999997</v>
      </c>
      <c r="F478" s="3">
        <v>0.13300000000000001</v>
      </c>
      <c r="G478" s="3">
        <v>3.3509799999999998</v>
      </c>
      <c r="H478" s="1" t="s">
        <v>9</v>
      </c>
    </row>
    <row r="479" spans="1:8" x14ac:dyDescent="0.3">
      <c r="A479" s="1">
        <v>2015</v>
      </c>
      <c r="B479" s="1">
        <v>12</v>
      </c>
      <c r="C479" s="1">
        <v>15</v>
      </c>
      <c r="D479" s="6">
        <v>2015.9534200000001</v>
      </c>
      <c r="E479" s="3">
        <v>398.77300000000002</v>
      </c>
      <c r="F479" s="3">
        <v>0.11899999999999999</v>
      </c>
      <c r="G479" s="3">
        <v>3.5410200000000001</v>
      </c>
      <c r="H479" s="1" t="s">
        <v>9</v>
      </c>
    </row>
    <row r="480" spans="1:8" x14ac:dyDescent="0.3">
      <c r="A480" s="1">
        <v>2016</v>
      </c>
      <c r="B480" s="1">
        <v>1</v>
      </c>
      <c r="C480" s="1">
        <v>15</v>
      </c>
      <c r="D480" s="6">
        <v>2016.0382500000001</v>
      </c>
      <c r="E480" s="3">
        <v>398.90199999999999</v>
      </c>
      <c r="F480" s="3">
        <v>0.14299999999999999</v>
      </c>
      <c r="G480" s="3">
        <v>3.5329899999999999</v>
      </c>
      <c r="H480" s="1" t="s">
        <v>9</v>
      </c>
    </row>
    <row r="481" spans="1:8" x14ac:dyDescent="0.3">
      <c r="A481" s="1">
        <v>2016</v>
      </c>
      <c r="B481" s="1">
        <v>2</v>
      </c>
      <c r="C481" s="1">
        <v>15</v>
      </c>
      <c r="D481" s="6">
        <v>2016.1229499999999</v>
      </c>
      <c r="E481" s="3">
        <v>399.07799999999997</v>
      </c>
      <c r="F481" s="3">
        <v>0.19900000000000001</v>
      </c>
      <c r="G481" s="3">
        <v>3.27502</v>
      </c>
      <c r="H481" s="1" t="s">
        <v>9</v>
      </c>
    </row>
    <row r="482" spans="1:8" x14ac:dyDescent="0.3">
      <c r="A482" s="1">
        <v>2016</v>
      </c>
      <c r="B482" s="1">
        <v>3</v>
      </c>
      <c r="C482" s="1">
        <v>15</v>
      </c>
      <c r="D482" s="6">
        <v>2016.20219</v>
      </c>
      <c r="E482" s="3">
        <v>399.33199999999999</v>
      </c>
      <c r="F482" s="3">
        <v>0.20799999999999999</v>
      </c>
      <c r="G482" s="3">
        <v>3.2569900000000001</v>
      </c>
      <c r="H482" s="1" t="s">
        <v>9</v>
      </c>
    </row>
    <row r="483" spans="1:8" x14ac:dyDescent="0.3">
      <c r="A483" s="1">
        <v>2016</v>
      </c>
      <c r="B483" s="1">
        <v>4</v>
      </c>
      <c r="C483" s="1">
        <v>15</v>
      </c>
      <c r="D483" s="6">
        <v>2016.2868900000001</v>
      </c>
      <c r="E483" s="3">
        <v>399.78199999999998</v>
      </c>
      <c r="F483" s="3">
        <v>0.24199999999999999</v>
      </c>
      <c r="G483" s="3">
        <v>3.2600099999999999</v>
      </c>
      <c r="H483" s="1" t="s">
        <v>9</v>
      </c>
    </row>
    <row r="484" spans="1:8" x14ac:dyDescent="0.3">
      <c r="A484" s="1">
        <v>2016</v>
      </c>
      <c r="B484" s="1">
        <v>5</v>
      </c>
      <c r="C484" s="1">
        <v>15</v>
      </c>
      <c r="D484" s="6">
        <v>2016.3688500000001</v>
      </c>
      <c r="E484" s="3">
        <v>400.29599999999999</v>
      </c>
      <c r="F484" s="3">
        <v>0.17499999999999999</v>
      </c>
      <c r="G484" s="3">
        <v>2.879</v>
      </c>
      <c r="H484" s="1" t="s">
        <v>9</v>
      </c>
    </row>
    <row r="485" spans="1:8" x14ac:dyDescent="0.3">
      <c r="A485" s="1">
        <v>2016</v>
      </c>
      <c r="B485" s="1">
        <v>6</v>
      </c>
      <c r="C485" s="1">
        <v>15</v>
      </c>
      <c r="D485" s="6">
        <v>2016.45355</v>
      </c>
      <c r="E485" s="3">
        <v>400.79899999999998</v>
      </c>
      <c r="F485" s="3">
        <v>0.20100000000000001</v>
      </c>
      <c r="G485" s="3">
        <v>2.573</v>
      </c>
      <c r="H485" s="1" t="s">
        <v>9</v>
      </c>
    </row>
    <row r="486" spans="1:8" x14ac:dyDescent="0.3">
      <c r="A486" s="1">
        <v>2016</v>
      </c>
      <c r="B486" s="1">
        <v>7</v>
      </c>
      <c r="C486" s="1">
        <v>15</v>
      </c>
      <c r="D486" s="6">
        <v>2016.5355199999999</v>
      </c>
      <c r="E486" s="3">
        <v>401.28899999999999</v>
      </c>
      <c r="F486" s="3">
        <v>0.191</v>
      </c>
      <c r="G486" s="3">
        <v>2.3819900000000001</v>
      </c>
      <c r="H486" s="1" t="s">
        <v>9</v>
      </c>
    </row>
    <row r="487" spans="1:8" x14ac:dyDescent="0.3">
      <c r="A487" s="1">
        <v>2016</v>
      </c>
      <c r="B487" s="1">
        <v>8</v>
      </c>
      <c r="C487" s="1">
        <v>15</v>
      </c>
      <c r="D487" s="6">
        <v>2016.62022</v>
      </c>
      <c r="E487" s="3">
        <v>401.59199999999998</v>
      </c>
      <c r="F487" s="3">
        <v>0.11799999999999999</v>
      </c>
      <c r="G487" s="3">
        <v>2.1529799999999999</v>
      </c>
      <c r="H487" s="1" t="s">
        <v>9</v>
      </c>
    </row>
    <row r="488" spans="1:8" x14ac:dyDescent="0.3">
      <c r="A488" s="1">
        <v>2016</v>
      </c>
      <c r="B488" s="1">
        <v>9</v>
      </c>
      <c r="C488" s="1">
        <v>15</v>
      </c>
      <c r="D488" s="6">
        <v>2016.7049199999999</v>
      </c>
      <c r="E488" s="3">
        <v>401.76100000000002</v>
      </c>
      <c r="F488" s="3">
        <v>0.13400000000000001</v>
      </c>
      <c r="G488" s="3">
        <v>1.9819899999999999</v>
      </c>
      <c r="H488" s="1" t="s">
        <v>9</v>
      </c>
    </row>
    <row r="489" spans="1:8" x14ac:dyDescent="0.3">
      <c r="A489" s="1">
        <v>2016</v>
      </c>
      <c r="B489" s="1">
        <v>10</v>
      </c>
      <c r="C489" s="1">
        <v>15</v>
      </c>
      <c r="D489" s="6">
        <v>2016.7868900000001</v>
      </c>
      <c r="E489" s="3">
        <v>401.803</v>
      </c>
      <c r="F489" s="3">
        <v>0.123</v>
      </c>
      <c r="G489" s="3">
        <v>1.81497</v>
      </c>
      <c r="H489" s="1" t="s">
        <v>9</v>
      </c>
    </row>
    <row r="490" spans="1:8" x14ac:dyDescent="0.3">
      <c r="A490" s="1">
        <v>2016</v>
      </c>
      <c r="B490" s="1">
        <v>11</v>
      </c>
      <c r="C490" s="1">
        <v>15</v>
      </c>
      <c r="D490" s="6">
        <v>2016.87158</v>
      </c>
      <c r="E490" s="3">
        <v>401.54599999999999</v>
      </c>
      <c r="F490" s="3">
        <v>0.155</v>
      </c>
      <c r="G490" s="3">
        <v>1.57901</v>
      </c>
      <c r="H490" s="1" t="s">
        <v>9</v>
      </c>
    </row>
    <row r="491" spans="1:8" x14ac:dyDescent="0.3">
      <c r="A491" s="1">
        <v>2016</v>
      </c>
      <c r="B491" s="1">
        <v>12</v>
      </c>
      <c r="C491" s="1">
        <v>15</v>
      </c>
      <c r="D491" s="6">
        <v>2016.95355</v>
      </c>
      <c r="E491" s="3">
        <v>401.346</v>
      </c>
      <c r="F491" s="3">
        <v>0.153</v>
      </c>
      <c r="G491" s="3">
        <v>1.3799699999999999</v>
      </c>
      <c r="H491" s="1" t="s">
        <v>9</v>
      </c>
    </row>
    <row r="492" spans="1:8" x14ac:dyDescent="0.3">
      <c r="A492" s="1">
        <v>2017</v>
      </c>
      <c r="B492" s="1">
        <v>1</v>
      </c>
      <c r="C492" s="1">
        <v>15</v>
      </c>
      <c r="D492" s="6">
        <v>2017.03836</v>
      </c>
      <c r="E492" s="3">
        <v>401.28399999999999</v>
      </c>
      <c r="F492" s="3">
        <v>0.16400000000000001</v>
      </c>
      <c r="G492" s="3">
        <v>1.5329900000000001</v>
      </c>
      <c r="H492" s="1" t="s">
        <v>9</v>
      </c>
    </row>
    <row r="493" spans="1:8" x14ac:dyDescent="0.3">
      <c r="A493" s="1">
        <v>2017</v>
      </c>
      <c r="B493" s="1">
        <v>2</v>
      </c>
      <c r="C493" s="1">
        <v>15</v>
      </c>
      <c r="D493" s="6">
        <v>2017.12329</v>
      </c>
      <c r="E493" s="3">
        <v>401.23099999999999</v>
      </c>
      <c r="F493" s="3">
        <v>0.16300000000000001</v>
      </c>
      <c r="G493" s="3">
        <v>1.8159799999999999</v>
      </c>
      <c r="H493" s="1" t="s">
        <v>9</v>
      </c>
    </row>
    <row r="494" spans="1:8" x14ac:dyDescent="0.3">
      <c r="A494" s="1">
        <v>2017</v>
      </c>
      <c r="B494" s="1">
        <v>3</v>
      </c>
      <c r="C494" s="1">
        <v>15</v>
      </c>
      <c r="D494" s="6">
        <v>2017.2</v>
      </c>
      <c r="E494" s="3">
        <v>401.31400000000002</v>
      </c>
      <c r="F494" s="3">
        <v>0.108</v>
      </c>
      <c r="G494" s="3">
        <v>1.85101</v>
      </c>
      <c r="H494" s="1" t="s">
        <v>9</v>
      </c>
    </row>
    <row r="495" spans="1:8" x14ac:dyDescent="0.3">
      <c r="A495" s="1">
        <v>2017</v>
      </c>
      <c r="B495" s="1">
        <v>4</v>
      </c>
      <c r="C495" s="1">
        <v>15</v>
      </c>
      <c r="D495" s="6">
        <v>2017.28493</v>
      </c>
      <c r="E495" s="3">
        <v>401.59699999999998</v>
      </c>
      <c r="F495" s="3">
        <v>0.14499999999999999</v>
      </c>
      <c r="G495" s="3">
        <v>1.94598</v>
      </c>
      <c r="H495" s="1" t="s">
        <v>9</v>
      </c>
    </row>
    <row r="496" spans="1:8" x14ac:dyDescent="0.3">
      <c r="A496" s="1">
        <v>2017</v>
      </c>
      <c r="B496" s="1">
        <v>5</v>
      </c>
      <c r="C496" s="1">
        <v>15</v>
      </c>
      <c r="D496" s="6">
        <v>2017.3671200000001</v>
      </c>
      <c r="E496" s="3">
        <v>401.875</v>
      </c>
      <c r="F496" s="3">
        <v>0.13</v>
      </c>
      <c r="G496" s="3">
        <v>2.3170199999999999</v>
      </c>
      <c r="H496" s="1" t="s">
        <v>9</v>
      </c>
    </row>
    <row r="497" spans="1:8" x14ac:dyDescent="0.3">
      <c r="A497" s="1">
        <v>2017</v>
      </c>
      <c r="B497" s="1">
        <v>6</v>
      </c>
      <c r="C497" s="1">
        <v>15</v>
      </c>
      <c r="D497" s="6">
        <v>2017.4520500000001</v>
      </c>
      <c r="E497" s="3">
        <v>402.17899999999997</v>
      </c>
      <c r="F497" s="3">
        <v>0.19400000000000001</v>
      </c>
      <c r="G497" s="3">
        <v>2.5069900000000001</v>
      </c>
      <c r="H497" s="1" t="s">
        <v>9</v>
      </c>
    </row>
    <row r="498" spans="1:8" x14ac:dyDescent="0.3">
      <c r="A498" s="1">
        <v>2017</v>
      </c>
      <c r="B498" s="1">
        <v>7</v>
      </c>
      <c r="C498" s="1">
        <v>15</v>
      </c>
      <c r="D498" s="6">
        <v>2017.5342499999999</v>
      </c>
      <c r="E498" s="3">
        <v>402.822</v>
      </c>
      <c r="F498" s="3">
        <v>0.25</v>
      </c>
      <c r="G498" s="3">
        <v>2.6360199999999998</v>
      </c>
      <c r="H498" s="1" t="s">
        <v>9</v>
      </c>
    </row>
    <row r="499" spans="1:8" x14ac:dyDescent="0.3">
      <c r="A499" s="1">
        <v>2017</v>
      </c>
      <c r="B499" s="1">
        <v>8</v>
      </c>
      <c r="C499" s="1">
        <v>15</v>
      </c>
      <c r="D499" s="6">
        <v>2017.6191799999999</v>
      </c>
      <c r="E499" s="3">
        <v>403.40800000000002</v>
      </c>
      <c r="F499" s="3">
        <v>0.14000000000000001</v>
      </c>
      <c r="G499" s="3">
        <v>2.7589999999999999</v>
      </c>
      <c r="H499" s="1" t="s">
        <v>9</v>
      </c>
    </row>
    <row r="500" spans="1:8" x14ac:dyDescent="0.3">
      <c r="A500" s="1">
        <v>2017</v>
      </c>
      <c r="B500" s="1">
        <v>9</v>
      </c>
      <c r="C500" s="1">
        <v>15</v>
      </c>
      <c r="D500" s="6">
        <v>2017.7041099999999</v>
      </c>
      <c r="E500" s="3">
        <v>403.61200000000002</v>
      </c>
      <c r="F500" s="3">
        <v>9.8000000000000004E-2</v>
      </c>
      <c r="G500" s="3">
        <v>2.7229899999999998</v>
      </c>
      <c r="H500" s="1" t="s">
        <v>9</v>
      </c>
    </row>
    <row r="501" spans="1:8" x14ac:dyDescent="0.3">
      <c r="A501" s="1">
        <v>2017</v>
      </c>
      <c r="B501" s="1">
        <v>10</v>
      </c>
      <c r="C501" s="1">
        <v>15</v>
      </c>
      <c r="D501" s="6">
        <v>2017.7863</v>
      </c>
      <c r="E501" s="3">
        <v>403.74900000000002</v>
      </c>
      <c r="F501" s="3">
        <v>0.159</v>
      </c>
      <c r="G501" s="3">
        <v>2.6620200000000001</v>
      </c>
      <c r="H501" s="1" t="s">
        <v>9</v>
      </c>
    </row>
    <row r="502" spans="1:8" x14ac:dyDescent="0.3">
      <c r="A502" s="1">
        <v>2017</v>
      </c>
      <c r="B502" s="1">
        <v>11</v>
      </c>
      <c r="C502" s="1">
        <v>15</v>
      </c>
      <c r="D502" s="6">
        <v>2017.87123</v>
      </c>
      <c r="E502" s="3">
        <v>403.863</v>
      </c>
      <c r="F502" s="3">
        <v>0.10100000000000001</v>
      </c>
      <c r="G502" s="3">
        <v>2.64499</v>
      </c>
      <c r="H502" s="1" t="s">
        <v>9</v>
      </c>
    </row>
    <row r="503" spans="1:8" x14ac:dyDescent="0.3">
      <c r="A503" s="1">
        <v>2017</v>
      </c>
      <c r="B503" s="1">
        <v>12</v>
      </c>
      <c r="C503" s="1">
        <v>15</v>
      </c>
      <c r="D503" s="6">
        <v>2017.9534200000001</v>
      </c>
      <c r="E503" s="3">
        <v>403.85300000000001</v>
      </c>
      <c r="F503" s="3">
        <v>0.192</v>
      </c>
      <c r="G503" s="3">
        <v>2.6360199999999998</v>
      </c>
      <c r="H503" s="1" t="s">
        <v>9</v>
      </c>
    </row>
    <row r="504" spans="1:8" x14ac:dyDescent="0.3">
      <c r="A504" s="1">
        <v>2018</v>
      </c>
      <c r="B504" s="1">
        <v>1</v>
      </c>
      <c r="C504" s="1">
        <v>15</v>
      </c>
      <c r="D504" s="6">
        <v>2018.03836</v>
      </c>
      <c r="E504" s="3">
        <v>403.92</v>
      </c>
      <c r="F504" s="3">
        <v>0.17100000000000001</v>
      </c>
      <c r="G504" s="3">
        <v>2.4840100000000001</v>
      </c>
      <c r="H504" s="1" t="s">
        <v>9</v>
      </c>
    </row>
    <row r="505" spans="1:8" x14ac:dyDescent="0.3">
      <c r="A505" s="1">
        <v>2018</v>
      </c>
      <c r="B505" s="1">
        <v>2</v>
      </c>
      <c r="C505" s="1">
        <v>15</v>
      </c>
      <c r="D505" s="6">
        <v>2018.12329</v>
      </c>
      <c r="E505" s="3">
        <v>403.99</v>
      </c>
      <c r="F505" s="3">
        <v>0.153</v>
      </c>
      <c r="G505" s="3">
        <v>2.3640099999999999</v>
      </c>
      <c r="H505" s="1" t="s">
        <v>9</v>
      </c>
    </row>
    <row r="506" spans="1:8" x14ac:dyDescent="0.3">
      <c r="A506" s="1">
        <v>2018</v>
      </c>
      <c r="B506" s="1">
        <v>3</v>
      </c>
      <c r="C506" s="1">
        <v>15</v>
      </c>
      <c r="D506" s="6">
        <v>2018.2</v>
      </c>
      <c r="E506" s="3">
        <v>404.03699999999998</v>
      </c>
      <c r="F506" s="3">
        <v>0.129</v>
      </c>
      <c r="G506" s="3">
        <v>2.3540000000000001</v>
      </c>
      <c r="H506" s="1" t="s">
        <v>9</v>
      </c>
    </row>
    <row r="507" spans="1:8" x14ac:dyDescent="0.3">
      <c r="A507" s="1">
        <v>2018</v>
      </c>
      <c r="B507" s="1">
        <v>4</v>
      </c>
      <c r="C507" s="1">
        <v>15</v>
      </c>
      <c r="D507" s="6">
        <v>2018.28493</v>
      </c>
      <c r="E507" s="3">
        <v>404.25900000000001</v>
      </c>
      <c r="F507" s="3">
        <v>0.17</v>
      </c>
      <c r="G507" s="3">
        <v>2.2440199999999999</v>
      </c>
      <c r="H507" s="1" t="s">
        <v>9</v>
      </c>
    </row>
    <row r="508" spans="1:8" x14ac:dyDescent="0.3">
      <c r="A508" s="1">
        <v>2018</v>
      </c>
      <c r="B508" s="1">
        <v>5</v>
      </c>
      <c r="C508" s="1">
        <v>15</v>
      </c>
      <c r="D508" s="6">
        <v>2018.3671200000001</v>
      </c>
      <c r="E508" s="3">
        <v>404.52</v>
      </c>
      <c r="F508" s="3">
        <v>0.13800000000000001</v>
      </c>
      <c r="G508" s="3">
        <v>2.0579800000000001</v>
      </c>
      <c r="H508" s="1" t="s">
        <v>9</v>
      </c>
    </row>
    <row r="509" spans="1:8" x14ac:dyDescent="0.3">
      <c r="A509" s="1">
        <v>2018</v>
      </c>
      <c r="B509" s="1">
        <v>6</v>
      </c>
      <c r="C509" s="1">
        <v>15</v>
      </c>
      <c r="D509" s="6">
        <v>2018.4520500000001</v>
      </c>
      <c r="E509" s="3">
        <v>404.815</v>
      </c>
      <c r="F509" s="3">
        <v>0.158</v>
      </c>
      <c r="G509" s="3">
        <v>2.0159899999999999</v>
      </c>
      <c r="H509" s="1" t="s">
        <v>9</v>
      </c>
    </row>
    <row r="510" spans="1:8" x14ac:dyDescent="0.3">
      <c r="A510" s="1">
        <v>2018</v>
      </c>
      <c r="B510" s="1">
        <v>7</v>
      </c>
      <c r="C510" s="1">
        <v>15</v>
      </c>
      <c r="D510" s="6">
        <v>2018.5342499999999</v>
      </c>
      <c r="E510" s="3">
        <v>405.30599999999998</v>
      </c>
      <c r="F510" s="3">
        <v>0.20899999999999999</v>
      </c>
      <c r="G510" s="3">
        <v>1.9269700000000001</v>
      </c>
      <c r="H510" s="1" t="s">
        <v>9</v>
      </c>
    </row>
    <row r="511" spans="1:8" x14ac:dyDescent="0.3">
      <c r="A511" s="1">
        <v>2018</v>
      </c>
      <c r="B511" s="1">
        <v>8</v>
      </c>
      <c r="C511" s="1">
        <v>15</v>
      </c>
      <c r="D511" s="6">
        <v>2018.6191799999999</v>
      </c>
      <c r="E511" s="3">
        <v>405.77199999999999</v>
      </c>
      <c r="F511" s="3">
        <v>0.13600000000000001</v>
      </c>
      <c r="G511" s="3">
        <v>1.7740199999999999</v>
      </c>
      <c r="H511" s="1" t="s">
        <v>9</v>
      </c>
    </row>
    <row r="512" spans="1:8" x14ac:dyDescent="0.3">
      <c r="A512" s="1">
        <v>2018</v>
      </c>
      <c r="B512" s="1">
        <v>9</v>
      </c>
      <c r="C512" s="1">
        <v>15</v>
      </c>
      <c r="D512" s="6">
        <v>2018.7041099999999</v>
      </c>
      <c r="E512" s="3">
        <v>405.96600000000001</v>
      </c>
      <c r="F512" s="3">
        <v>0.106</v>
      </c>
      <c r="G512" s="3">
        <v>1.85501</v>
      </c>
      <c r="H512" s="1" t="s">
        <v>9</v>
      </c>
    </row>
    <row r="513" spans="1:8" x14ac:dyDescent="0.3">
      <c r="A513" s="1">
        <v>2018</v>
      </c>
      <c r="B513" s="1">
        <v>10</v>
      </c>
      <c r="C513" s="1">
        <v>15</v>
      </c>
      <c r="D513" s="6">
        <v>2018.7863</v>
      </c>
      <c r="E513" s="3">
        <v>405.99299999999999</v>
      </c>
      <c r="F513" s="3">
        <v>0.16400000000000001</v>
      </c>
      <c r="G513" s="3">
        <v>2.04901</v>
      </c>
      <c r="H513" s="1" t="s">
        <v>9</v>
      </c>
    </row>
    <row r="514" spans="1:8" x14ac:dyDescent="0.3">
      <c r="A514" s="1">
        <v>2018</v>
      </c>
      <c r="B514" s="1">
        <v>11</v>
      </c>
      <c r="C514" s="1">
        <v>15</v>
      </c>
      <c r="D514" s="6">
        <v>2018.87123</v>
      </c>
      <c r="E514" s="3">
        <v>405.92099999999999</v>
      </c>
      <c r="F514" s="3">
        <v>0.16600000000000001</v>
      </c>
      <c r="G514" s="3">
        <v>2.3290099999999998</v>
      </c>
      <c r="H514" s="1" t="s">
        <v>9</v>
      </c>
    </row>
    <row r="515" spans="1:8" x14ac:dyDescent="0.3">
      <c r="A515" s="1">
        <v>2018</v>
      </c>
      <c r="B515" s="1">
        <v>12</v>
      </c>
      <c r="C515" s="1">
        <v>15</v>
      </c>
      <c r="D515" s="6">
        <v>2018.9534200000001</v>
      </c>
      <c r="E515" s="3">
        <v>405.86900000000003</v>
      </c>
      <c r="F515" s="3">
        <v>0.13400000000000001</v>
      </c>
      <c r="G515" s="3">
        <v>2.6139800000000002</v>
      </c>
      <c r="H515" s="1" t="s">
        <v>9</v>
      </c>
    </row>
    <row r="516" spans="1:8" x14ac:dyDescent="0.3">
      <c r="A516" s="1">
        <v>2019</v>
      </c>
      <c r="B516" s="1">
        <v>1</v>
      </c>
      <c r="C516" s="1">
        <v>15</v>
      </c>
      <c r="D516" s="6">
        <v>2019.03836</v>
      </c>
      <c r="E516" s="3">
        <v>405.84699999999998</v>
      </c>
      <c r="F516" s="3">
        <v>0.182</v>
      </c>
      <c r="G516" s="3">
        <v>2.7330000000000001</v>
      </c>
      <c r="H516" s="1" t="s">
        <v>9</v>
      </c>
    </row>
    <row r="517" spans="1:8" x14ac:dyDescent="0.3">
      <c r="A517" s="1">
        <v>2019</v>
      </c>
      <c r="B517" s="1">
        <v>2</v>
      </c>
      <c r="C517" s="1">
        <v>15</v>
      </c>
      <c r="D517" s="6">
        <v>2019.12329</v>
      </c>
      <c r="E517" s="3">
        <v>405.76400000000001</v>
      </c>
      <c r="F517" s="3">
        <v>0.14499999999999999</v>
      </c>
      <c r="G517" s="3">
        <v>2.7340100000000001</v>
      </c>
      <c r="H517" s="1" t="s">
        <v>9</v>
      </c>
    </row>
    <row r="518" spans="1:8" x14ac:dyDescent="0.3">
      <c r="A518" s="1">
        <v>2019</v>
      </c>
      <c r="B518" s="1">
        <v>3</v>
      </c>
      <c r="C518" s="1">
        <v>15</v>
      </c>
      <c r="D518" s="6">
        <v>2019.2</v>
      </c>
      <c r="E518" s="3">
        <v>405.892</v>
      </c>
      <c r="F518" s="3">
        <v>0.184</v>
      </c>
      <c r="G518" s="3">
        <v>2.758</v>
      </c>
      <c r="H518" s="1" t="s">
        <v>9</v>
      </c>
    </row>
    <row r="519" spans="1:8" x14ac:dyDescent="0.3">
      <c r="A519" s="1">
        <v>2019</v>
      </c>
      <c r="B519" s="1">
        <v>4</v>
      </c>
      <c r="C519" s="1">
        <v>15</v>
      </c>
      <c r="D519" s="6">
        <v>2019.28493</v>
      </c>
      <c r="E519" s="3">
        <v>406.30799999999999</v>
      </c>
      <c r="F519" s="3">
        <v>0.17499999999999999</v>
      </c>
      <c r="G519" s="3">
        <v>2.89398</v>
      </c>
      <c r="H519" s="1" t="s">
        <v>9</v>
      </c>
    </row>
    <row r="520" spans="1:8" x14ac:dyDescent="0.3">
      <c r="A520" s="1">
        <v>2019</v>
      </c>
      <c r="B520" s="1">
        <v>5</v>
      </c>
      <c r="C520" s="1">
        <v>15</v>
      </c>
      <c r="D520" s="6">
        <v>2019.3671200000001</v>
      </c>
      <c r="E520" s="3">
        <v>406.84899999999999</v>
      </c>
      <c r="F520" s="3">
        <v>0.22</v>
      </c>
      <c r="G520" s="3">
        <v>2.9880100000000001</v>
      </c>
      <c r="H520" s="1" t="s">
        <v>9</v>
      </c>
    </row>
    <row r="521" spans="1:8" x14ac:dyDescent="0.3">
      <c r="A521" s="1">
        <v>2019</v>
      </c>
      <c r="B521" s="1">
        <v>6</v>
      </c>
      <c r="C521" s="1">
        <v>15</v>
      </c>
      <c r="D521" s="6">
        <v>2019.4520500000001</v>
      </c>
      <c r="E521" s="3">
        <v>407.42899999999997</v>
      </c>
      <c r="F521" s="3">
        <v>0.224</v>
      </c>
      <c r="G521" s="3">
        <v>2.7970000000000002</v>
      </c>
      <c r="H521" s="1" t="s">
        <v>9</v>
      </c>
    </row>
    <row r="522" spans="1:8" x14ac:dyDescent="0.3">
      <c r="A522" s="1">
        <v>2019</v>
      </c>
      <c r="B522" s="1">
        <v>7</v>
      </c>
      <c r="C522" s="1">
        <v>15</v>
      </c>
      <c r="D522" s="6">
        <v>2019.5342499999999</v>
      </c>
      <c r="E522" s="3">
        <v>408.03899999999999</v>
      </c>
      <c r="F522" s="3">
        <v>0.20799999999999999</v>
      </c>
      <c r="G522" s="3">
        <v>2.5710099999999998</v>
      </c>
      <c r="H522" s="1" t="s">
        <v>9</v>
      </c>
    </row>
    <row r="523" spans="1:8" x14ac:dyDescent="0.3">
      <c r="A523" s="1">
        <v>2019</v>
      </c>
      <c r="B523" s="1">
        <v>8</v>
      </c>
      <c r="C523" s="1">
        <v>15</v>
      </c>
      <c r="D523" s="6">
        <v>2019.6191799999999</v>
      </c>
      <c r="E523" s="3">
        <v>408.50599999999997</v>
      </c>
      <c r="F523" s="3">
        <v>0.153</v>
      </c>
      <c r="G523" s="3">
        <v>2.7330000000000001</v>
      </c>
      <c r="H523" s="1" t="s">
        <v>9</v>
      </c>
    </row>
    <row r="524" spans="1:8" x14ac:dyDescent="0.3">
      <c r="A524" s="1">
        <v>2019</v>
      </c>
      <c r="B524" s="1">
        <v>9</v>
      </c>
      <c r="C524" s="1">
        <v>15</v>
      </c>
      <c r="D524" s="6">
        <v>2019.7041099999999</v>
      </c>
      <c r="E524" s="3">
        <v>408.72399999999999</v>
      </c>
      <c r="F524" s="3">
        <v>0.13500000000000001</v>
      </c>
      <c r="G524" s="3">
        <v>2.8559899999999998</v>
      </c>
      <c r="H524" s="1" t="s">
        <v>9</v>
      </c>
    </row>
    <row r="525" spans="1:8" x14ac:dyDescent="0.3">
      <c r="A525" s="1">
        <v>2019</v>
      </c>
      <c r="B525" s="1">
        <v>10</v>
      </c>
      <c r="C525" s="1">
        <v>15</v>
      </c>
      <c r="D525" s="6">
        <v>2019.7863</v>
      </c>
      <c r="E525" s="3">
        <v>408.887</v>
      </c>
      <c r="F525" s="3">
        <v>0.111</v>
      </c>
      <c r="G525" s="3">
        <v>2.6759900000000001</v>
      </c>
      <c r="H525" s="1" t="s">
        <v>9</v>
      </c>
    </row>
    <row r="526" spans="1:8" x14ac:dyDescent="0.3">
      <c r="A526" s="1">
        <v>2019</v>
      </c>
      <c r="B526" s="1">
        <v>11</v>
      </c>
      <c r="C526" s="1">
        <v>15</v>
      </c>
      <c r="D526" s="6">
        <v>2019.87123</v>
      </c>
      <c r="E526" s="3">
        <v>408.90899999999999</v>
      </c>
      <c r="F526" s="3">
        <v>0.11899999999999999</v>
      </c>
      <c r="G526" s="3">
        <v>2.3879999999999999</v>
      </c>
      <c r="H526" s="1" t="s">
        <v>9</v>
      </c>
    </row>
    <row r="527" spans="1:8" x14ac:dyDescent="0.3">
      <c r="A527" s="1">
        <v>2019</v>
      </c>
      <c r="B527" s="1">
        <v>12</v>
      </c>
      <c r="C527" s="1">
        <v>15</v>
      </c>
      <c r="D527" s="6">
        <v>2019.9534200000001</v>
      </c>
      <c r="E527" s="3">
        <v>408.666</v>
      </c>
      <c r="F527" s="3">
        <v>0.16800000000000001</v>
      </c>
      <c r="G527" s="3">
        <v>2.2290000000000001</v>
      </c>
      <c r="H527" s="1" t="s">
        <v>9</v>
      </c>
    </row>
    <row r="528" spans="1:8" x14ac:dyDescent="0.3">
      <c r="A528" s="1">
        <v>2020</v>
      </c>
      <c r="B528" s="1">
        <v>1</v>
      </c>
      <c r="C528" s="1">
        <v>15</v>
      </c>
      <c r="D528" s="6">
        <v>2020.0382500000001</v>
      </c>
      <c r="E528" s="3">
        <v>408.41800000000001</v>
      </c>
      <c r="F528" s="3">
        <v>0.186</v>
      </c>
      <c r="G528" s="3">
        <v>2.198</v>
      </c>
      <c r="H528" s="1" t="s">
        <v>9</v>
      </c>
    </row>
    <row r="529" spans="1:8" x14ac:dyDescent="0.3">
      <c r="A529" s="1">
        <v>2020</v>
      </c>
      <c r="B529" s="1">
        <v>2</v>
      </c>
      <c r="C529" s="1">
        <v>15</v>
      </c>
      <c r="D529" s="6">
        <v>2020.1229499999999</v>
      </c>
      <c r="E529" s="3">
        <v>408.49700000000001</v>
      </c>
      <c r="F529" s="3">
        <v>0.159</v>
      </c>
      <c r="G529" s="3">
        <v>2.198</v>
      </c>
      <c r="H529" s="1" t="s">
        <v>9</v>
      </c>
    </row>
    <row r="530" spans="1:8" x14ac:dyDescent="0.3">
      <c r="A530" s="1">
        <v>2020</v>
      </c>
      <c r="B530" s="1">
        <v>3</v>
      </c>
      <c r="C530" s="1">
        <v>15</v>
      </c>
      <c r="D530" s="6">
        <v>2020.20219</v>
      </c>
      <c r="E530" s="3">
        <v>408.74799999999999</v>
      </c>
      <c r="F530" s="3">
        <v>0.184</v>
      </c>
      <c r="G530" s="3">
        <v>2.19299</v>
      </c>
      <c r="H530" s="1" t="s">
        <v>9</v>
      </c>
    </row>
    <row r="531" spans="1:8" x14ac:dyDescent="0.3">
      <c r="A531" s="1">
        <v>2020</v>
      </c>
      <c r="B531" s="1">
        <v>4</v>
      </c>
      <c r="C531" s="1">
        <v>15</v>
      </c>
      <c r="D531" s="6">
        <v>2020.2868900000001</v>
      </c>
      <c r="E531" s="3">
        <v>408.98399999999998</v>
      </c>
      <c r="F531" s="3">
        <v>0.129</v>
      </c>
      <c r="G531" s="3">
        <v>2.10602</v>
      </c>
      <c r="H531" s="1" t="s">
        <v>9</v>
      </c>
    </row>
    <row r="532" spans="1:8" x14ac:dyDescent="0.3">
      <c r="A532" s="1">
        <v>2020</v>
      </c>
      <c r="B532" s="1">
        <v>5</v>
      </c>
      <c r="C532" s="1">
        <v>15</v>
      </c>
      <c r="D532" s="6">
        <v>2020.3688500000001</v>
      </c>
      <c r="E532" s="3">
        <v>409.23700000000002</v>
      </c>
      <c r="F532" s="3">
        <v>0.13300000000000001</v>
      </c>
      <c r="G532" s="3">
        <v>2.0350000000000001</v>
      </c>
      <c r="H532" s="1" t="s">
        <v>9</v>
      </c>
    </row>
    <row r="533" spans="1:8" x14ac:dyDescent="0.3">
      <c r="A533" s="1">
        <v>2020</v>
      </c>
      <c r="B533" s="1">
        <v>6</v>
      </c>
      <c r="C533" s="1">
        <v>15</v>
      </c>
      <c r="D533" s="6">
        <v>2020.45355</v>
      </c>
      <c r="E533" s="3">
        <v>409.65800000000002</v>
      </c>
      <c r="F533" s="3">
        <v>0.183</v>
      </c>
      <c r="G533" s="3">
        <v>2.1960099999999998</v>
      </c>
      <c r="H533" s="1" t="s">
        <v>9</v>
      </c>
    </row>
    <row r="534" spans="1:8" x14ac:dyDescent="0.3">
      <c r="A534" s="1">
        <v>2020</v>
      </c>
      <c r="B534" s="1">
        <v>7</v>
      </c>
      <c r="C534" s="1">
        <v>15</v>
      </c>
      <c r="D534" s="6">
        <v>2020.5355199999999</v>
      </c>
      <c r="E534" s="3">
        <v>410.23700000000002</v>
      </c>
      <c r="F534" s="3">
        <v>0.219</v>
      </c>
      <c r="G534" s="3">
        <v>2.3879999999999999</v>
      </c>
      <c r="H534" s="1" t="s">
        <v>9</v>
      </c>
    </row>
    <row r="535" spans="1:8" x14ac:dyDescent="0.3">
      <c r="A535" s="1">
        <v>2020</v>
      </c>
      <c r="B535" s="1">
        <v>8</v>
      </c>
      <c r="C535" s="1">
        <v>15</v>
      </c>
      <c r="D535" s="6">
        <v>2020.62022</v>
      </c>
      <c r="E535" s="3">
        <v>410.70400000000001</v>
      </c>
      <c r="F535" s="3">
        <v>0.14499999999999999</v>
      </c>
      <c r="G535" s="3">
        <v>2.3159800000000001</v>
      </c>
      <c r="H535" s="1" t="s">
        <v>9</v>
      </c>
    </row>
    <row r="536" spans="1:8" x14ac:dyDescent="0.3">
      <c r="A536" s="1">
        <v>2020</v>
      </c>
      <c r="B536" s="1">
        <v>9</v>
      </c>
      <c r="C536" s="1">
        <v>15</v>
      </c>
      <c r="D536" s="6">
        <v>2020.7049199999999</v>
      </c>
      <c r="E536" s="3">
        <v>410.91699999999997</v>
      </c>
      <c r="F536" s="3">
        <v>0.1</v>
      </c>
      <c r="G536" s="3">
        <v>2.2170100000000001</v>
      </c>
      <c r="H536" s="1" t="s">
        <v>9</v>
      </c>
    </row>
    <row r="537" spans="1:8" x14ac:dyDescent="0.3">
      <c r="A537" s="1">
        <v>2020</v>
      </c>
      <c r="B537" s="1">
        <v>10</v>
      </c>
      <c r="C537" s="1">
        <v>15</v>
      </c>
      <c r="D537" s="6">
        <v>2020.7868900000001</v>
      </c>
      <c r="E537" s="3">
        <v>410.99299999999999</v>
      </c>
      <c r="F537" s="3">
        <v>0.125</v>
      </c>
      <c r="G537" s="3">
        <v>2.1099899999999998</v>
      </c>
      <c r="H537" s="1" t="s">
        <v>9</v>
      </c>
    </row>
    <row r="538" spans="1:8" x14ac:dyDescent="0.3">
      <c r="A538" s="1">
        <v>2020</v>
      </c>
      <c r="B538" s="1">
        <v>11</v>
      </c>
      <c r="C538" s="1">
        <v>15</v>
      </c>
      <c r="D538" s="6">
        <v>2020.87158</v>
      </c>
      <c r="E538" s="3">
        <v>410.94400000000002</v>
      </c>
      <c r="F538" s="3">
        <v>0.14399999999999999</v>
      </c>
      <c r="G538" s="3">
        <v>2.0440100000000001</v>
      </c>
      <c r="H538" s="1" t="s">
        <v>9</v>
      </c>
    </row>
    <row r="539" spans="1:8" x14ac:dyDescent="0.3">
      <c r="A539" s="1">
        <v>2020</v>
      </c>
      <c r="B539" s="1">
        <v>12</v>
      </c>
      <c r="C539" s="1">
        <v>15</v>
      </c>
      <c r="D539" s="6">
        <v>2020.95355</v>
      </c>
      <c r="E539" s="3">
        <v>410.86200000000002</v>
      </c>
      <c r="F539" s="3">
        <v>0.161</v>
      </c>
      <c r="G539" s="3">
        <v>2.0350000000000001</v>
      </c>
      <c r="H539" s="1" t="s">
        <v>9</v>
      </c>
    </row>
    <row r="540" spans="1:8" x14ac:dyDescent="0.3">
      <c r="A540" s="1">
        <v>2021</v>
      </c>
      <c r="B540" s="1">
        <v>1</v>
      </c>
      <c r="C540" s="1">
        <v>15</v>
      </c>
      <c r="D540" s="6">
        <v>2021.03836</v>
      </c>
      <c r="E540" s="3">
        <v>410.80599999999998</v>
      </c>
      <c r="F540" s="3">
        <v>0.16</v>
      </c>
      <c r="G540" s="3">
        <v>1.974</v>
      </c>
      <c r="H540" s="1" t="s">
        <v>9</v>
      </c>
    </row>
    <row r="541" spans="1:8" x14ac:dyDescent="0.3">
      <c r="A541" s="1">
        <v>2021</v>
      </c>
      <c r="B541" s="1">
        <v>2</v>
      </c>
      <c r="C541" s="1">
        <v>15</v>
      </c>
      <c r="D541" s="6">
        <v>2021.12329</v>
      </c>
      <c r="E541" s="3">
        <v>410.81299999999999</v>
      </c>
      <c r="F541" s="3">
        <v>0.15</v>
      </c>
      <c r="G541" s="3">
        <v>2.0109900000000001</v>
      </c>
      <c r="H541" s="1" t="s">
        <v>9</v>
      </c>
    </row>
    <row r="542" spans="1:8" x14ac:dyDescent="0.3">
      <c r="A542" s="1">
        <v>2021</v>
      </c>
      <c r="B542" s="1">
        <v>3</v>
      </c>
      <c r="C542" s="1">
        <v>15</v>
      </c>
      <c r="D542" s="6">
        <v>2021.2</v>
      </c>
      <c r="E542" s="3">
        <v>410.96499999999997</v>
      </c>
      <c r="F542" s="3">
        <v>0.19500000000000001</v>
      </c>
      <c r="G542" s="3">
        <v>2.1710199999999999</v>
      </c>
      <c r="H542" s="1" t="s">
        <v>9</v>
      </c>
    </row>
    <row r="543" spans="1:8" x14ac:dyDescent="0.3">
      <c r="A543" s="1">
        <v>2021</v>
      </c>
      <c r="B543" s="1">
        <v>4</v>
      </c>
      <c r="C543" s="1">
        <v>15</v>
      </c>
      <c r="D543" s="6">
        <v>2021.28493</v>
      </c>
      <c r="E543" s="3">
        <v>411.09399999999999</v>
      </c>
      <c r="F543" s="3">
        <v>0.112</v>
      </c>
      <c r="G543" s="3">
        <v>2.2370000000000001</v>
      </c>
      <c r="H543" s="1" t="s">
        <v>9</v>
      </c>
    </row>
    <row r="544" spans="1:8" x14ac:dyDescent="0.3">
      <c r="A544" s="1">
        <v>2021</v>
      </c>
      <c r="B544" s="1">
        <v>5</v>
      </c>
      <c r="C544" s="1">
        <v>15</v>
      </c>
      <c r="D544" s="6">
        <v>2021.3671200000001</v>
      </c>
      <c r="E544" s="3">
        <v>411.28100000000001</v>
      </c>
      <c r="F544" s="3">
        <v>0.155</v>
      </c>
      <c r="G544" s="3">
        <v>2.31799</v>
      </c>
      <c r="H544" s="1" t="s">
        <v>9</v>
      </c>
    </row>
    <row r="545" spans="1:8" x14ac:dyDescent="0.3">
      <c r="A545" s="1">
        <v>2021</v>
      </c>
      <c r="B545" s="1">
        <v>6</v>
      </c>
      <c r="C545" s="1">
        <v>15</v>
      </c>
      <c r="D545" s="6">
        <v>2021.4520500000001</v>
      </c>
      <c r="E545" s="3">
        <v>411.69299999999998</v>
      </c>
      <c r="F545" s="3">
        <v>0.186</v>
      </c>
      <c r="G545" s="3">
        <v>2.3640099999999999</v>
      </c>
      <c r="H545" s="1" t="s">
        <v>9</v>
      </c>
    </row>
    <row r="546" spans="1:8" x14ac:dyDescent="0.3">
      <c r="A546" s="1">
        <v>2021</v>
      </c>
      <c r="B546" s="1">
        <v>7</v>
      </c>
      <c r="C546" s="1">
        <v>15</v>
      </c>
      <c r="D546" s="6">
        <v>2021.5342499999999</v>
      </c>
      <c r="E546" s="3">
        <v>412.21100000000001</v>
      </c>
      <c r="F546" s="3">
        <v>0.19</v>
      </c>
      <c r="G546" s="3">
        <v>2.3349899999999999</v>
      </c>
      <c r="H546" s="1" t="s">
        <v>9</v>
      </c>
    </row>
    <row r="547" spans="1:8" x14ac:dyDescent="0.3">
      <c r="A547" s="1">
        <v>2021</v>
      </c>
      <c r="B547" s="1">
        <v>8</v>
      </c>
      <c r="C547" s="1">
        <v>15</v>
      </c>
      <c r="D547" s="6">
        <v>2021.6191799999999</v>
      </c>
      <c r="E547" s="3">
        <v>412.71499999999997</v>
      </c>
      <c r="F547" s="3">
        <v>0.19</v>
      </c>
      <c r="G547" s="3">
        <v>2.3879999999999999</v>
      </c>
      <c r="H547" s="1" t="s">
        <v>9</v>
      </c>
    </row>
    <row r="548" spans="1:8" x14ac:dyDescent="0.3">
      <c r="A548" s="1">
        <v>2021</v>
      </c>
      <c r="B548" s="1">
        <v>9</v>
      </c>
      <c r="C548" s="1">
        <v>15</v>
      </c>
      <c r="D548" s="6">
        <v>2021.7041099999999</v>
      </c>
      <c r="E548" s="3">
        <v>413.08800000000002</v>
      </c>
      <c r="F548" s="3">
        <v>0.14099999999999999</v>
      </c>
      <c r="G548" s="3">
        <v>2.42502</v>
      </c>
      <c r="H548" s="1" t="s">
        <v>9</v>
      </c>
    </row>
    <row r="549" spans="1:8" x14ac:dyDescent="0.3">
      <c r="A549" s="1">
        <v>2021</v>
      </c>
      <c r="B549" s="1">
        <v>10</v>
      </c>
      <c r="C549" s="1">
        <v>15</v>
      </c>
      <c r="D549" s="6">
        <v>2021.7863</v>
      </c>
      <c r="E549" s="3">
        <v>413.23</v>
      </c>
      <c r="F549" s="3">
        <v>0.10299999999999999</v>
      </c>
      <c r="G549" s="3">
        <v>2.48001</v>
      </c>
      <c r="H549" s="1" t="s">
        <v>9</v>
      </c>
    </row>
    <row r="550" spans="1:8" x14ac:dyDescent="0.3">
      <c r="A550" s="1">
        <v>2021</v>
      </c>
      <c r="B550" s="1">
        <v>11</v>
      </c>
      <c r="C550" s="1">
        <v>15</v>
      </c>
      <c r="D550" s="6">
        <v>2021.87123</v>
      </c>
      <c r="E550" s="3">
        <v>413.262</v>
      </c>
      <c r="F550" s="3">
        <v>0.111</v>
      </c>
      <c r="G550" s="3">
        <v>2.5270100000000002</v>
      </c>
      <c r="H550" s="1" t="s">
        <v>9</v>
      </c>
    </row>
    <row r="551" spans="1:8" x14ac:dyDescent="0.3">
      <c r="A551" s="1">
        <v>2021</v>
      </c>
      <c r="B551" s="1">
        <v>12</v>
      </c>
      <c r="C551" s="1">
        <v>15</v>
      </c>
      <c r="D551" s="6">
        <v>2021.9534200000001</v>
      </c>
      <c r="E551" s="3">
        <v>413.226</v>
      </c>
      <c r="F551" s="3">
        <v>0.184</v>
      </c>
      <c r="G551" s="3">
        <v>2.4620099999999998</v>
      </c>
      <c r="H551" s="1" t="s">
        <v>9</v>
      </c>
    </row>
    <row r="552" spans="1:8" x14ac:dyDescent="0.3">
      <c r="A552" s="1">
        <v>2022</v>
      </c>
      <c r="B552" s="1">
        <v>1</v>
      </c>
      <c r="C552" s="1">
        <v>15</v>
      </c>
      <c r="D552" s="6">
        <v>2022.03836</v>
      </c>
      <c r="E552" s="3">
        <v>413.14100000000002</v>
      </c>
      <c r="F552" s="3">
        <v>0.19700000000000001</v>
      </c>
      <c r="G552" s="3">
        <v>2.42801</v>
      </c>
      <c r="H552" s="1" t="s">
        <v>9</v>
      </c>
    </row>
    <row r="553" spans="1:8" x14ac:dyDescent="0.3">
      <c r="A553" s="1">
        <v>2022</v>
      </c>
      <c r="B553" s="1">
        <v>2</v>
      </c>
      <c r="C553" s="1">
        <v>15</v>
      </c>
      <c r="D553" s="6">
        <v>2022.12329</v>
      </c>
      <c r="E553" s="3">
        <v>413.20100000000002</v>
      </c>
      <c r="F553" s="3">
        <v>0.14899999999999999</v>
      </c>
      <c r="G553" s="3">
        <v>2.431</v>
      </c>
      <c r="H553" s="1" t="s">
        <v>9</v>
      </c>
    </row>
    <row r="554" spans="1:8" x14ac:dyDescent="0.3">
      <c r="A554" s="1">
        <v>2022</v>
      </c>
      <c r="B554" s="1">
        <v>3</v>
      </c>
      <c r="C554" s="1">
        <v>15</v>
      </c>
      <c r="D554" s="6">
        <v>2022.2</v>
      </c>
      <c r="E554" s="3">
        <v>413.39</v>
      </c>
      <c r="F554" s="3">
        <v>0.16800000000000001</v>
      </c>
      <c r="G554" s="3">
        <v>2.27698</v>
      </c>
      <c r="H554" s="1" t="s">
        <v>9</v>
      </c>
    </row>
    <row r="555" spans="1:8" x14ac:dyDescent="0.3">
      <c r="A555" s="1">
        <v>2022</v>
      </c>
      <c r="B555" s="1">
        <v>4</v>
      </c>
      <c r="C555" s="1">
        <v>15</v>
      </c>
      <c r="D555" s="6">
        <v>2022.28493</v>
      </c>
      <c r="E555" s="3">
        <v>413.57400000000001</v>
      </c>
      <c r="F555" s="3">
        <v>0.18</v>
      </c>
      <c r="G555" s="3">
        <v>2.1649799999999999</v>
      </c>
      <c r="H555" s="1" t="s">
        <v>9</v>
      </c>
    </row>
    <row r="556" spans="1:8" x14ac:dyDescent="0.3">
      <c r="A556" s="1">
        <v>2022</v>
      </c>
      <c r="B556" s="1">
        <v>5</v>
      </c>
      <c r="C556" s="1">
        <v>15</v>
      </c>
      <c r="D556" s="6">
        <v>2022.3671200000001</v>
      </c>
      <c r="E556" s="3">
        <v>413.80799999999999</v>
      </c>
      <c r="F556" s="3">
        <v>0.128</v>
      </c>
      <c r="G556" s="3">
        <v>2.1610100000000001</v>
      </c>
      <c r="H556" s="1" t="s">
        <v>9</v>
      </c>
    </row>
    <row r="557" spans="1:8" x14ac:dyDescent="0.3">
      <c r="A557" s="1">
        <v>2022</v>
      </c>
      <c r="B557" s="1">
        <v>6</v>
      </c>
      <c r="C557" s="1">
        <v>15</v>
      </c>
      <c r="D557" s="6">
        <v>2022.4520500000001</v>
      </c>
      <c r="E557" s="3">
        <v>414.15499999999997</v>
      </c>
      <c r="F557" s="3">
        <v>0.14299999999999999</v>
      </c>
      <c r="G557" s="3">
        <v>2.0499900000000002</v>
      </c>
      <c r="H557" s="1" t="s">
        <v>9</v>
      </c>
    </row>
    <row r="558" spans="1:8" x14ac:dyDescent="0.3">
      <c r="A558" s="1">
        <v>2022</v>
      </c>
      <c r="B558" s="1">
        <v>7</v>
      </c>
      <c r="C558" s="1">
        <v>15</v>
      </c>
      <c r="D558" s="6">
        <v>2022.5342499999999</v>
      </c>
      <c r="E558" s="3">
        <v>414.63900000000001</v>
      </c>
      <c r="F558" s="3">
        <v>0.187</v>
      </c>
      <c r="G558" s="3">
        <v>1.90802</v>
      </c>
      <c r="H558" s="1" t="s">
        <v>9</v>
      </c>
    </row>
    <row r="559" spans="1:8" x14ac:dyDescent="0.3">
      <c r="A559" s="1">
        <v>2022</v>
      </c>
      <c r="B559" s="1">
        <v>8</v>
      </c>
      <c r="C559" s="1">
        <v>15</v>
      </c>
      <c r="D559" s="6">
        <v>2022.6191799999999</v>
      </c>
      <c r="E559" s="3">
        <v>415.14600000000002</v>
      </c>
      <c r="F559" s="3">
        <v>0.17699999999999999</v>
      </c>
      <c r="G559" s="3">
        <v>1.8870199999999999</v>
      </c>
      <c r="H559" s="1" t="s">
        <v>9</v>
      </c>
    </row>
    <row r="560" spans="1:8" x14ac:dyDescent="0.3">
      <c r="A560" s="1">
        <v>2022</v>
      </c>
      <c r="B560" s="1">
        <v>9</v>
      </c>
      <c r="C560" s="1">
        <v>15</v>
      </c>
      <c r="D560" s="6">
        <v>2022.7041099999999</v>
      </c>
      <c r="E560" s="3">
        <v>415.36500000000001</v>
      </c>
      <c r="F560" s="3">
        <v>0.126</v>
      </c>
      <c r="G560" s="3">
        <v>1.85199</v>
      </c>
      <c r="H560" s="1" t="s">
        <v>9</v>
      </c>
    </row>
    <row r="561" spans="1:8" x14ac:dyDescent="0.3">
      <c r="A561" s="1">
        <v>2022</v>
      </c>
      <c r="B561" s="1">
        <v>10</v>
      </c>
      <c r="C561" s="1">
        <v>15</v>
      </c>
      <c r="D561" s="6">
        <v>2022.7863</v>
      </c>
      <c r="E561" s="3">
        <v>415.39499999999998</v>
      </c>
      <c r="F561" s="3">
        <v>0.127</v>
      </c>
      <c r="G561" s="3">
        <v>1.8169900000000001</v>
      </c>
      <c r="H561" s="1" t="s">
        <v>9</v>
      </c>
    </row>
    <row r="562" spans="1:8" x14ac:dyDescent="0.3">
      <c r="A562" s="1">
        <v>2022</v>
      </c>
      <c r="B562" s="1">
        <v>11</v>
      </c>
      <c r="C562" s="1">
        <v>15</v>
      </c>
      <c r="D562" s="6">
        <v>2022.87123</v>
      </c>
      <c r="E562" s="3">
        <v>415.423</v>
      </c>
      <c r="F562" s="3">
        <v>0.11600000000000001</v>
      </c>
      <c r="G562" s="3">
        <v>1.9029799999999999</v>
      </c>
      <c r="H562" s="1" t="s">
        <v>9</v>
      </c>
    </row>
    <row r="563" spans="1:8" x14ac:dyDescent="0.3">
      <c r="A563" s="1">
        <v>2022</v>
      </c>
      <c r="B563" s="1">
        <v>12</v>
      </c>
      <c r="C563" s="1">
        <v>15</v>
      </c>
      <c r="D563" s="6">
        <v>2022.9534200000001</v>
      </c>
      <c r="E563" s="3">
        <v>415.27600000000001</v>
      </c>
      <c r="F563" s="3">
        <v>0.16600000000000001</v>
      </c>
      <c r="G563" s="3">
        <v>1.9559899999999999</v>
      </c>
      <c r="H563" s="1" t="s">
        <v>9</v>
      </c>
    </row>
    <row r="564" spans="1:8" x14ac:dyDescent="0.3">
      <c r="A564" s="1">
        <v>2023</v>
      </c>
      <c r="B564" s="1">
        <v>1</v>
      </c>
      <c r="C564" s="1">
        <v>15</v>
      </c>
      <c r="D564" s="6">
        <v>2023.03836</v>
      </c>
      <c r="E564" s="3">
        <v>415.04899999999998</v>
      </c>
      <c r="F564" s="3">
        <v>0.188</v>
      </c>
      <c r="G564" s="3">
        <v>1.9190100000000001</v>
      </c>
      <c r="H564" s="1" t="s">
        <v>9</v>
      </c>
    </row>
    <row r="565" spans="1:8" x14ac:dyDescent="0.3">
      <c r="A565" s="1">
        <v>2023</v>
      </c>
      <c r="B565" s="1">
        <v>2</v>
      </c>
      <c r="C565" s="1">
        <v>15</v>
      </c>
      <c r="D565" s="6">
        <v>2023.12329</v>
      </c>
      <c r="E565" s="3">
        <v>415.08800000000002</v>
      </c>
      <c r="F565" s="3">
        <v>0.17199999999999999</v>
      </c>
      <c r="G565" s="3">
        <v>1.9390000000000001</v>
      </c>
      <c r="H565" s="1" t="s">
        <v>9</v>
      </c>
    </row>
    <row r="566" spans="1:8" x14ac:dyDescent="0.3">
      <c r="A566" s="1">
        <v>2023</v>
      </c>
      <c r="B566" s="1">
        <v>3</v>
      </c>
      <c r="C566" s="1">
        <v>15</v>
      </c>
      <c r="D566" s="6">
        <v>2023.2</v>
      </c>
      <c r="E566" s="3">
        <v>415.24200000000002</v>
      </c>
      <c r="F566" s="3">
        <v>0.17100000000000001</v>
      </c>
      <c r="G566" s="3">
        <v>2.0230100000000002</v>
      </c>
      <c r="H566" s="1" t="s">
        <v>9</v>
      </c>
    </row>
    <row r="567" spans="1:8" x14ac:dyDescent="0.3">
      <c r="A567" s="1">
        <v>2023</v>
      </c>
      <c r="B567" s="1">
        <v>4</v>
      </c>
      <c r="C567" s="1">
        <v>15</v>
      </c>
      <c r="D567" s="6">
        <v>2023.28493</v>
      </c>
      <c r="E567" s="3">
        <v>415.39100000000002</v>
      </c>
      <c r="F567" s="3">
        <v>0.14599999999999999</v>
      </c>
      <c r="G567" s="3">
        <v>2.1859999999999999</v>
      </c>
      <c r="H567" s="1" t="s">
        <v>9</v>
      </c>
    </row>
    <row r="568" spans="1:8" x14ac:dyDescent="0.3">
      <c r="A568" s="1">
        <v>2023</v>
      </c>
      <c r="B568" s="1">
        <v>5</v>
      </c>
      <c r="C568" s="1">
        <v>15</v>
      </c>
      <c r="D568" s="6">
        <v>2023.3671200000001</v>
      </c>
      <c r="E568" s="3">
        <v>415.71100000000001</v>
      </c>
      <c r="F568" s="3">
        <v>0.16600000000000001</v>
      </c>
      <c r="G568" s="3">
        <v>2.3630100000000001</v>
      </c>
      <c r="H568" s="1" t="s">
        <v>9</v>
      </c>
    </row>
    <row r="569" spans="1:8" x14ac:dyDescent="0.3">
      <c r="A569" s="1">
        <v>2023</v>
      </c>
      <c r="B569" s="1">
        <v>6</v>
      </c>
      <c r="C569" s="1">
        <v>15</v>
      </c>
      <c r="D569" s="6">
        <v>2023.4520500000001</v>
      </c>
      <c r="E569" s="3">
        <v>416.11099999999999</v>
      </c>
      <c r="F569" s="3">
        <v>0.14899999999999999</v>
      </c>
      <c r="G569" s="3">
        <v>2.56</v>
      </c>
      <c r="H569" s="1" t="s">
        <v>9</v>
      </c>
    </row>
    <row r="570" spans="1:8" x14ac:dyDescent="0.3">
      <c r="A570" s="1">
        <v>2023</v>
      </c>
      <c r="B570" s="1">
        <v>7</v>
      </c>
      <c r="C570" s="1">
        <v>15</v>
      </c>
      <c r="D570" s="6">
        <v>2023.5342499999999</v>
      </c>
      <c r="E570" s="3">
        <v>416.55799999999999</v>
      </c>
      <c r="F570" s="3">
        <v>0.19700000000000001</v>
      </c>
      <c r="G570" s="3">
        <v>2.90598</v>
      </c>
      <c r="H570" s="1" t="s">
        <v>9</v>
      </c>
    </row>
    <row r="571" spans="1:8" x14ac:dyDescent="0.3">
      <c r="A571" s="1">
        <v>2023</v>
      </c>
      <c r="B571" s="1">
        <v>8</v>
      </c>
      <c r="C571" s="1">
        <v>15</v>
      </c>
      <c r="D571" s="6">
        <v>2023.6191799999999</v>
      </c>
      <c r="E571" s="3">
        <v>417.08499999999998</v>
      </c>
      <c r="F571" s="3">
        <v>0.20599999999999999</v>
      </c>
      <c r="G571" s="3">
        <v>3.1080000000000001</v>
      </c>
      <c r="H571" s="1" t="s">
        <v>9</v>
      </c>
    </row>
    <row r="572" spans="1:8" x14ac:dyDescent="0.3">
      <c r="A572" s="1">
        <v>2023</v>
      </c>
      <c r="B572" s="1">
        <v>9</v>
      </c>
      <c r="C572" s="1">
        <v>15</v>
      </c>
      <c r="D572" s="6">
        <v>2023.7041099999999</v>
      </c>
      <c r="E572" s="3">
        <v>417.38799999999998</v>
      </c>
      <c r="F572" s="3">
        <v>0.13900000000000001</v>
      </c>
      <c r="G572" s="3">
        <v>3.32199</v>
      </c>
      <c r="H572" s="1" t="s">
        <v>9</v>
      </c>
    </row>
    <row r="573" spans="1:8" x14ac:dyDescent="0.3">
      <c r="A573" s="1">
        <v>2023</v>
      </c>
      <c r="B573" s="1">
        <v>10</v>
      </c>
      <c r="C573" s="1">
        <v>15</v>
      </c>
      <c r="D573" s="6">
        <v>2023.7863</v>
      </c>
      <c r="E573" s="3">
        <v>417.58100000000002</v>
      </c>
      <c r="F573" s="3">
        <v>0.13</v>
      </c>
      <c r="G573" s="3">
        <v>3.6499899999999998</v>
      </c>
      <c r="H573" s="1" t="s">
        <v>9</v>
      </c>
    </row>
    <row r="574" spans="1:8" x14ac:dyDescent="0.3">
      <c r="A574" s="1">
        <v>2023</v>
      </c>
      <c r="B574" s="1">
        <v>11</v>
      </c>
      <c r="C574" s="1">
        <v>15</v>
      </c>
      <c r="D574" s="6">
        <v>2023.87123</v>
      </c>
      <c r="E574" s="3">
        <v>417.786</v>
      </c>
      <c r="F574" s="3">
        <v>0.182</v>
      </c>
      <c r="G574" s="3">
        <v>3.7890000000000001</v>
      </c>
      <c r="H574" s="1" t="s">
        <v>9</v>
      </c>
    </row>
    <row r="575" spans="1:8" x14ac:dyDescent="0.3">
      <c r="A575" s="1">
        <v>2023</v>
      </c>
      <c r="B575" s="1">
        <v>12</v>
      </c>
      <c r="C575" s="1">
        <v>15</v>
      </c>
      <c r="D575" s="6">
        <v>2023.9534200000001</v>
      </c>
      <c r="E575" s="3">
        <v>417.83600000000001</v>
      </c>
      <c r="F575" s="3">
        <v>0.17799999999999999</v>
      </c>
      <c r="G575" s="3">
        <v>3.923</v>
      </c>
      <c r="H575" s="1" t="s">
        <v>9</v>
      </c>
    </row>
    <row r="576" spans="1:8" x14ac:dyDescent="0.3">
      <c r="A576" s="1">
        <v>2024</v>
      </c>
      <c r="B576" s="1">
        <v>1</v>
      </c>
      <c r="C576" s="1">
        <v>15</v>
      </c>
      <c r="D576" s="6">
        <v>2024.0382500000001</v>
      </c>
      <c r="E576" s="3">
        <v>417.95499999999998</v>
      </c>
      <c r="F576" s="3">
        <v>0.184</v>
      </c>
      <c r="G576" s="3">
        <v>3.952</v>
      </c>
      <c r="H576" s="1" t="s">
        <v>9</v>
      </c>
    </row>
    <row r="577" spans="1:8" x14ac:dyDescent="0.3">
      <c r="A577" s="1">
        <v>2024</v>
      </c>
      <c r="B577" s="1">
        <v>2</v>
      </c>
      <c r="C577" s="1">
        <v>15</v>
      </c>
      <c r="D577" s="6">
        <v>2024.1229499999999</v>
      </c>
      <c r="E577" s="3">
        <v>418.19600000000003</v>
      </c>
      <c r="F577" s="3">
        <v>0.21099999999999999</v>
      </c>
      <c r="G577" s="3" t="s">
        <v>21</v>
      </c>
      <c r="H577" s="1" t="s">
        <v>9</v>
      </c>
    </row>
    <row r="578" spans="1:8" x14ac:dyDescent="0.3">
      <c r="A578" s="1">
        <v>2024</v>
      </c>
      <c r="B578" s="1">
        <v>3</v>
      </c>
      <c r="C578" s="1">
        <v>15</v>
      </c>
      <c r="D578" s="6">
        <v>2024.20219</v>
      </c>
      <c r="E578" s="3">
        <v>418.56400000000002</v>
      </c>
      <c r="F578" s="3">
        <v>0.219</v>
      </c>
      <c r="G578" s="3" t="s">
        <v>21</v>
      </c>
      <c r="H578" s="1" t="s">
        <v>9</v>
      </c>
    </row>
    <row r="579" spans="1:8" x14ac:dyDescent="0.3">
      <c r="A579" s="1">
        <v>2024</v>
      </c>
      <c r="B579" s="1">
        <v>4</v>
      </c>
      <c r="C579" s="1">
        <v>15</v>
      </c>
      <c r="D579" s="6">
        <v>2024.2868900000001</v>
      </c>
      <c r="E579" s="3">
        <v>419.041</v>
      </c>
      <c r="F579" s="3">
        <v>0.22</v>
      </c>
      <c r="G579" s="3" t="s">
        <v>21</v>
      </c>
      <c r="H579" s="1" t="s">
        <v>9</v>
      </c>
    </row>
    <row r="580" spans="1:8" x14ac:dyDescent="0.3">
      <c r="A580" s="1">
        <v>2024</v>
      </c>
      <c r="B580" s="1">
        <v>5</v>
      </c>
      <c r="C580" s="1">
        <v>15</v>
      </c>
      <c r="D580" s="6">
        <v>2024.3688500000001</v>
      </c>
      <c r="E580" s="3">
        <v>419.5</v>
      </c>
      <c r="F580" s="3">
        <v>0.21199999999999999</v>
      </c>
      <c r="G580" s="3" t="s">
        <v>21</v>
      </c>
      <c r="H580" s="1" t="s">
        <v>9</v>
      </c>
    </row>
    <row r="581" spans="1:8" x14ac:dyDescent="0.3">
      <c r="A581" s="1">
        <v>2024</v>
      </c>
      <c r="B581" s="1">
        <v>6</v>
      </c>
      <c r="C581" s="1">
        <v>15</v>
      </c>
      <c r="D581" s="6">
        <v>2024.45355</v>
      </c>
      <c r="E581" s="3">
        <v>420.03399999999999</v>
      </c>
      <c r="F581" s="3">
        <v>0.221</v>
      </c>
      <c r="G581" s="3" t="s">
        <v>21</v>
      </c>
      <c r="H581" s="1" t="s">
        <v>9</v>
      </c>
    </row>
    <row r="582" spans="1:8" x14ac:dyDescent="0.3">
      <c r="A582" s="1">
        <v>2024</v>
      </c>
      <c r="B582" s="1">
        <v>7</v>
      </c>
      <c r="C582" s="1">
        <v>15</v>
      </c>
      <c r="D582" s="6">
        <v>2024.5355199999999</v>
      </c>
      <c r="E582" s="1">
        <v>420.51</v>
      </c>
      <c r="F582" s="1">
        <v>0.159</v>
      </c>
      <c r="G582" s="1" t="s">
        <v>21</v>
      </c>
      <c r="H582" s="1" t="s">
        <v>9</v>
      </c>
    </row>
    <row r="583" spans="1:8" x14ac:dyDescent="0.3">
      <c r="A583" s="1">
        <v>2024</v>
      </c>
      <c r="B583" s="1">
        <v>8</v>
      </c>
      <c r="C583" s="1">
        <v>15</v>
      </c>
      <c r="D583" s="6">
        <v>2024.6191799999999</v>
      </c>
    </row>
    <row r="584" spans="1:8" x14ac:dyDescent="0.3">
      <c r="A584" s="1">
        <v>2024</v>
      </c>
      <c r="B584" s="1">
        <v>9</v>
      </c>
      <c r="C584" s="1">
        <v>15</v>
      </c>
      <c r="D584" s="6">
        <v>2024.7041099999999</v>
      </c>
    </row>
    <row r="585" spans="1:8" x14ac:dyDescent="0.3">
      <c r="A585" s="1">
        <v>2024</v>
      </c>
      <c r="B585" s="1">
        <v>10</v>
      </c>
      <c r="C585" s="1">
        <v>15</v>
      </c>
      <c r="D585" s="6">
        <v>2024.7863</v>
      </c>
    </row>
    <row r="586" spans="1:8" x14ac:dyDescent="0.3">
      <c r="A586" s="1">
        <v>2024</v>
      </c>
      <c r="B586" s="1">
        <v>11</v>
      </c>
      <c r="C586" s="1">
        <v>15</v>
      </c>
      <c r="D586" s="6">
        <v>2024.87123</v>
      </c>
    </row>
    <row r="587" spans="1:8" x14ac:dyDescent="0.3">
      <c r="A587" s="1">
        <v>2024</v>
      </c>
      <c r="B587" s="1">
        <v>12</v>
      </c>
      <c r="C587" s="1">
        <v>15</v>
      </c>
      <c r="D587" s="6">
        <v>2024.9534200000001</v>
      </c>
    </row>
  </sheetData>
  <hyperlinks>
    <hyperlink ref="F3" r:id="rId1" xr:uid="{9FA428FB-2255-458D-99D5-28F2D07EED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3"/>
  <sheetViews>
    <sheetView workbookViewId="0">
      <pane ySplit="5" topLeftCell="A6" activePane="bottomLeft" state="frozen"/>
      <selection pane="bottomLeft" activeCell="K9" sqref="K9"/>
    </sheetView>
  </sheetViews>
  <sheetFormatPr defaultColWidth="9.21875" defaultRowHeight="14.4" x14ac:dyDescent="0.3"/>
  <cols>
    <col min="1" max="1" width="5.109375" style="1" customWidth="1"/>
    <col min="2" max="2" width="4.21875" style="1" bestFit="1" customWidth="1"/>
    <col min="3" max="3" width="3.33203125" style="1" bestFit="1" customWidth="1"/>
    <col min="4" max="4" width="11.33203125" style="6" bestFit="1" customWidth="1"/>
    <col min="5" max="5" width="9.21875" style="2"/>
    <col min="6" max="7" width="9.21875" style="3"/>
    <col min="8" max="8" width="9.21875" style="1"/>
    <col min="9" max="9" width="4.77734375" style="1" bestFit="1" customWidth="1"/>
    <col min="10" max="10" width="2.77734375" style="1" bestFit="1" customWidth="1"/>
    <col min="11" max="11" width="8.33203125" style="1" bestFit="1" customWidth="1"/>
    <col min="12" max="16384" width="9.21875" style="1"/>
  </cols>
  <sheetData>
    <row r="1" spans="1:11" x14ac:dyDescent="0.3">
      <c r="A1" s="1" t="s">
        <v>1</v>
      </c>
      <c r="B1" s="1" t="s">
        <v>2</v>
      </c>
      <c r="C1" s="1" t="s">
        <v>3</v>
      </c>
      <c r="D1" s="6" t="s">
        <v>4</v>
      </c>
      <c r="E1" s="2" t="s">
        <v>15</v>
      </c>
      <c r="F1" s="3" t="s">
        <v>6</v>
      </c>
      <c r="G1" s="3" t="s">
        <v>7</v>
      </c>
      <c r="H1" s="1" t="s">
        <v>8</v>
      </c>
      <c r="I1" s="1" t="s">
        <v>1</v>
      </c>
      <c r="J1" s="1" t="s">
        <v>12</v>
      </c>
      <c r="K1" s="1" t="s">
        <v>20</v>
      </c>
    </row>
    <row r="2" spans="1:11" x14ac:dyDescent="0.3">
      <c r="A2" s="1" t="s">
        <v>16</v>
      </c>
    </row>
    <row r="3" spans="1:11" x14ac:dyDescent="0.3">
      <c r="A3" s="1" t="s">
        <v>22</v>
      </c>
      <c r="F3" s="7" t="s">
        <v>0</v>
      </c>
    </row>
    <row r="4" spans="1:11" x14ac:dyDescent="0.3">
      <c r="A4" s="1">
        <v>1978</v>
      </c>
      <c r="B4" s="1">
        <v>4</v>
      </c>
      <c r="C4" s="1">
        <v>26</v>
      </c>
      <c r="D4" s="6">
        <v>1978.3178</v>
      </c>
      <c r="E4" s="2">
        <v>1479</v>
      </c>
      <c r="F4" s="3">
        <v>0.7</v>
      </c>
      <c r="H4" s="1" t="s">
        <v>14</v>
      </c>
      <c r="I4" s="1">
        <v>1976</v>
      </c>
      <c r="J4" s="5">
        <f t="shared" ref="J4:J51" si="0">COUNTIFS($A:$A,$I4,E:E,"&gt;0")</f>
        <v>0</v>
      </c>
      <c r="K4" s="2" t="str">
        <f t="shared" ref="K4:K51" si="1">IFERROR((AVERAGEIFS(E:E,$A:$A,$I4)),"")</f>
        <v/>
      </c>
    </row>
    <row r="5" spans="1:11" x14ac:dyDescent="0.3">
      <c r="A5" s="1">
        <v>1978</v>
      </c>
      <c r="B5" s="1">
        <v>7</v>
      </c>
      <c r="C5" s="1">
        <v>7</v>
      </c>
      <c r="D5" s="6">
        <v>1978.5151000000001</v>
      </c>
      <c r="E5" s="2">
        <v>1497.1</v>
      </c>
      <c r="F5" s="3">
        <v>0.7</v>
      </c>
      <c r="H5" s="1" t="s">
        <v>14</v>
      </c>
      <c r="I5" s="1">
        <v>1977</v>
      </c>
      <c r="J5" s="5">
        <f t="shared" si="0"/>
        <v>0</v>
      </c>
      <c r="K5" s="2" t="str">
        <f t="shared" si="1"/>
        <v/>
      </c>
    </row>
    <row r="6" spans="1:11" x14ac:dyDescent="0.3">
      <c r="A6" s="1">
        <v>1979</v>
      </c>
      <c r="B6" s="1">
        <v>2</v>
      </c>
      <c r="C6" s="1">
        <v>6</v>
      </c>
      <c r="D6" s="6">
        <v>1979.1014</v>
      </c>
      <c r="E6" s="2">
        <v>1495.1</v>
      </c>
      <c r="F6" s="3">
        <v>1.8</v>
      </c>
      <c r="H6" s="1" t="s">
        <v>14</v>
      </c>
      <c r="I6" s="1">
        <v>1978</v>
      </c>
      <c r="J6" s="5">
        <f t="shared" si="0"/>
        <v>2</v>
      </c>
      <c r="K6" s="2">
        <f t="shared" si="1"/>
        <v>1488.05</v>
      </c>
    </row>
    <row r="7" spans="1:11" x14ac:dyDescent="0.3">
      <c r="A7" s="1">
        <v>1980</v>
      </c>
      <c r="B7" s="1">
        <v>9</v>
      </c>
      <c r="C7" s="1">
        <v>3</v>
      </c>
      <c r="D7" s="6">
        <v>1980.6749</v>
      </c>
      <c r="E7" s="2">
        <v>1540.1</v>
      </c>
      <c r="F7" s="3">
        <v>0.4</v>
      </c>
      <c r="H7" s="1" t="s">
        <v>14</v>
      </c>
      <c r="I7" s="1">
        <v>1979</v>
      </c>
      <c r="J7" s="5">
        <f t="shared" si="0"/>
        <v>1</v>
      </c>
      <c r="K7" s="2">
        <f t="shared" si="1"/>
        <v>1495.1</v>
      </c>
    </row>
    <row r="8" spans="1:11" x14ac:dyDescent="0.3">
      <c r="A8" s="1">
        <v>1984</v>
      </c>
      <c r="B8" s="1">
        <v>5</v>
      </c>
      <c r="C8" s="1">
        <v>23</v>
      </c>
      <c r="D8" s="6">
        <v>1984.3933999999999</v>
      </c>
      <c r="E8" s="2">
        <v>1590.9</v>
      </c>
      <c r="F8" s="3">
        <v>0.5</v>
      </c>
      <c r="H8" s="1" t="s">
        <v>14</v>
      </c>
      <c r="I8" s="1">
        <v>1980</v>
      </c>
      <c r="J8" s="5">
        <f t="shared" si="0"/>
        <v>1</v>
      </c>
      <c r="K8" s="2">
        <f t="shared" si="1"/>
        <v>1540.1</v>
      </c>
    </row>
    <row r="9" spans="1:11" x14ac:dyDescent="0.3">
      <c r="A9" s="1">
        <v>1984</v>
      </c>
      <c r="B9" s="1">
        <v>8</v>
      </c>
      <c r="C9" s="1">
        <v>15</v>
      </c>
      <c r="D9" s="6">
        <v>1984.6202189999999</v>
      </c>
      <c r="E9" s="2">
        <v>1610.98</v>
      </c>
      <c r="F9" s="3">
        <v>0.2087</v>
      </c>
      <c r="H9" s="1" t="s">
        <v>10</v>
      </c>
      <c r="I9" s="1">
        <v>1981</v>
      </c>
      <c r="J9" s="5">
        <f t="shared" si="0"/>
        <v>0</v>
      </c>
      <c r="K9" s="8">
        <f>K8+(K$12-K$8)/(12-8)</f>
        <v>1555.5925</v>
      </c>
    </row>
    <row r="10" spans="1:11" x14ac:dyDescent="0.3">
      <c r="A10" s="1">
        <v>1984</v>
      </c>
      <c r="B10" s="1">
        <v>9</v>
      </c>
      <c r="C10" s="1">
        <v>15</v>
      </c>
      <c r="D10" s="6">
        <v>1984.7049179999999</v>
      </c>
      <c r="E10" s="2">
        <v>1608.31</v>
      </c>
      <c r="F10" s="3">
        <v>3.0623999999999998</v>
      </c>
      <c r="H10" s="1" t="s">
        <v>10</v>
      </c>
      <c r="I10" s="1">
        <v>1982</v>
      </c>
      <c r="J10" s="5">
        <f t="shared" si="0"/>
        <v>0</v>
      </c>
      <c r="K10" s="8">
        <f t="shared" ref="K10:K11" si="2">K9+(K$12-K$8)/(12-8)</f>
        <v>1571.085</v>
      </c>
    </row>
    <row r="11" spans="1:11" x14ac:dyDescent="0.3">
      <c r="A11" s="1">
        <v>1984</v>
      </c>
      <c r="B11" s="1">
        <v>10</v>
      </c>
      <c r="C11" s="1">
        <v>15</v>
      </c>
      <c r="D11" s="6">
        <v>1984.786885</v>
      </c>
      <c r="E11" s="2">
        <v>1605.23</v>
      </c>
      <c r="F11" s="3">
        <v>2.4298000000000002</v>
      </c>
      <c r="H11" s="1" t="s">
        <v>10</v>
      </c>
      <c r="I11" s="1">
        <v>1983</v>
      </c>
      <c r="J11" s="5">
        <f t="shared" si="0"/>
        <v>0</v>
      </c>
      <c r="K11" s="8">
        <f t="shared" si="2"/>
        <v>1586.5775000000001</v>
      </c>
    </row>
    <row r="12" spans="1:11" x14ac:dyDescent="0.3">
      <c r="A12" s="1">
        <v>1984</v>
      </c>
      <c r="B12" s="1">
        <v>11</v>
      </c>
      <c r="C12" s="1">
        <v>15</v>
      </c>
      <c r="D12" s="6">
        <v>1984.8715850000001</v>
      </c>
      <c r="E12" s="2">
        <v>1602.32</v>
      </c>
      <c r="F12" s="3">
        <v>2.2227999999999999</v>
      </c>
      <c r="H12" s="1" t="s">
        <v>10</v>
      </c>
      <c r="I12" s="1">
        <v>1984</v>
      </c>
      <c r="J12" s="5">
        <f t="shared" si="0"/>
        <v>6</v>
      </c>
      <c r="K12" s="2">
        <f t="shared" si="1"/>
        <v>1602.07</v>
      </c>
    </row>
    <row r="13" spans="1:11" x14ac:dyDescent="0.3">
      <c r="A13" s="1">
        <v>1984</v>
      </c>
      <c r="B13" s="1">
        <v>12</v>
      </c>
      <c r="C13" s="1">
        <v>15</v>
      </c>
      <c r="D13" s="6">
        <v>1984.9535519999999</v>
      </c>
      <c r="E13" s="2">
        <v>1594.68</v>
      </c>
      <c r="F13" s="3">
        <v>2.8105000000000002</v>
      </c>
      <c r="H13" s="1" t="s">
        <v>10</v>
      </c>
      <c r="I13" s="1">
        <v>1985</v>
      </c>
      <c r="J13" s="5">
        <f t="shared" si="0"/>
        <v>12</v>
      </c>
      <c r="K13" s="2">
        <f t="shared" si="1"/>
        <v>1602.5958333333335</v>
      </c>
    </row>
    <row r="14" spans="1:11" x14ac:dyDescent="0.3">
      <c r="A14" s="1">
        <v>1985</v>
      </c>
      <c r="B14" s="1">
        <v>1</v>
      </c>
      <c r="C14" s="1">
        <v>15</v>
      </c>
      <c r="D14" s="6">
        <v>1985.038356</v>
      </c>
      <c r="E14" s="2">
        <v>1586.64</v>
      </c>
      <c r="F14" s="3">
        <v>2.2138</v>
      </c>
      <c r="H14" s="1" t="s">
        <v>10</v>
      </c>
      <c r="I14" s="1">
        <v>1986</v>
      </c>
      <c r="J14" s="5">
        <f t="shared" si="0"/>
        <v>12</v>
      </c>
      <c r="K14" s="2">
        <f t="shared" si="1"/>
        <v>1617.7741666666668</v>
      </c>
    </row>
    <row r="15" spans="1:11" x14ac:dyDescent="0.3">
      <c r="A15" s="1">
        <v>1985</v>
      </c>
      <c r="B15" s="1">
        <v>2</v>
      </c>
      <c r="C15" s="1">
        <v>15</v>
      </c>
      <c r="D15" s="6">
        <v>1985.123288</v>
      </c>
      <c r="E15" s="2">
        <v>1582</v>
      </c>
      <c r="F15" s="3">
        <v>3.1865999999999999</v>
      </c>
      <c r="G15" s="3">
        <v>7.0880099999999997</v>
      </c>
      <c r="H15" s="1" t="s">
        <v>10</v>
      </c>
      <c r="I15" s="1">
        <v>1987</v>
      </c>
      <c r="J15" s="5">
        <f t="shared" si="0"/>
        <v>12</v>
      </c>
      <c r="K15" s="2">
        <f t="shared" si="1"/>
        <v>1631.76</v>
      </c>
    </row>
    <row r="16" spans="1:11" x14ac:dyDescent="0.3">
      <c r="A16" s="1">
        <v>1985</v>
      </c>
      <c r="B16" s="1">
        <v>3</v>
      </c>
      <c r="C16" s="1">
        <v>15</v>
      </c>
      <c r="D16" s="6">
        <v>1985.2</v>
      </c>
      <c r="E16" s="2">
        <v>1582.56</v>
      </c>
      <c r="F16" s="3">
        <v>2.7743000000000002</v>
      </c>
      <c r="G16" s="3">
        <v>11.199</v>
      </c>
      <c r="H16" s="1" t="s">
        <v>10</v>
      </c>
      <c r="I16" s="1">
        <v>1988</v>
      </c>
      <c r="J16" s="5">
        <f t="shared" si="0"/>
        <v>12</v>
      </c>
      <c r="K16" s="2">
        <f t="shared" si="1"/>
        <v>1641.825</v>
      </c>
    </row>
    <row r="17" spans="1:11" x14ac:dyDescent="0.3">
      <c r="A17" s="1">
        <v>1985</v>
      </c>
      <c r="B17" s="1">
        <v>4</v>
      </c>
      <c r="C17" s="1">
        <v>15</v>
      </c>
      <c r="D17" s="6">
        <v>1985.284932</v>
      </c>
      <c r="E17" s="2">
        <v>1590.1</v>
      </c>
      <c r="F17" s="3">
        <v>2.9801000000000002</v>
      </c>
      <c r="G17" s="3">
        <v>14.4541</v>
      </c>
      <c r="H17" s="1" t="s">
        <v>10</v>
      </c>
      <c r="I17" s="1">
        <v>1989</v>
      </c>
      <c r="J17" s="5">
        <f t="shared" si="0"/>
        <v>12</v>
      </c>
      <c r="K17" s="2">
        <f t="shared" si="1"/>
        <v>1655.4775000000002</v>
      </c>
    </row>
    <row r="18" spans="1:11" x14ac:dyDescent="0.3">
      <c r="A18" s="1">
        <v>1985</v>
      </c>
      <c r="B18" s="1">
        <v>5</v>
      </c>
      <c r="C18" s="1">
        <v>15</v>
      </c>
      <c r="D18" s="6">
        <v>1985.367123</v>
      </c>
      <c r="E18" s="2">
        <v>1598.1</v>
      </c>
      <c r="F18" s="3">
        <v>1.8935999999999999</v>
      </c>
      <c r="G18" s="3">
        <v>13.1119</v>
      </c>
      <c r="H18" s="1" t="s">
        <v>10</v>
      </c>
      <c r="I18" s="1">
        <v>1990</v>
      </c>
      <c r="J18" s="5">
        <f t="shared" si="0"/>
        <v>12</v>
      </c>
      <c r="K18" s="2">
        <f t="shared" si="1"/>
        <v>1662.7591666666665</v>
      </c>
    </row>
    <row r="19" spans="1:11" x14ac:dyDescent="0.3">
      <c r="A19" s="1">
        <v>1985</v>
      </c>
      <c r="B19" s="1">
        <v>6</v>
      </c>
      <c r="C19" s="1">
        <v>15</v>
      </c>
      <c r="D19" s="6">
        <v>1985.452055</v>
      </c>
      <c r="E19" s="2">
        <v>1602.54</v>
      </c>
      <c r="F19" s="3">
        <v>3.2698</v>
      </c>
      <c r="G19" s="3">
        <v>11.365</v>
      </c>
      <c r="H19" s="1" t="s">
        <v>10</v>
      </c>
      <c r="I19" s="1">
        <v>1991</v>
      </c>
      <c r="J19" s="5">
        <f t="shared" si="0"/>
        <v>12</v>
      </c>
      <c r="K19" s="2">
        <f t="shared" si="1"/>
        <v>1674.0808333333334</v>
      </c>
    </row>
    <row r="20" spans="1:11" x14ac:dyDescent="0.3">
      <c r="A20" s="1">
        <v>1985</v>
      </c>
      <c r="B20" s="1">
        <v>7</v>
      </c>
      <c r="C20" s="1">
        <v>15</v>
      </c>
      <c r="D20" s="6">
        <v>1985.5342470000001</v>
      </c>
      <c r="E20" s="2">
        <v>1610.48</v>
      </c>
      <c r="F20" s="3">
        <v>4.3560999999999996</v>
      </c>
      <c r="G20" s="3">
        <v>13.525</v>
      </c>
      <c r="H20" s="1" t="s">
        <v>10</v>
      </c>
      <c r="I20" s="1">
        <v>1992</v>
      </c>
      <c r="J20" s="5">
        <f t="shared" si="0"/>
        <v>12</v>
      </c>
      <c r="K20" s="2">
        <f t="shared" si="1"/>
        <v>1687.0266666666669</v>
      </c>
    </row>
    <row r="21" spans="1:11" x14ac:dyDescent="0.3">
      <c r="A21" s="1">
        <v>1985</v>
      </c>
      <c r="B21" s="1">
        <v>8</v>
      </c>
      <c r="C21" s="1">
        <v>15</v>
      </c>
      <c r="D21" s="6">
        <v>1985.6191779999999</v>
      </c>
      <c r="E21" s="2">
        <v>1618.07</v>
      </c>
      <c r="F21" s="3">
        <v>3.6105999999999998</v>
      </c>
      <c r="G21" s="3">
        <v>17.061900000000001</v>
      </c>
      <c r="H21" s="1" t="s">
        <v>10</v>
      </c>
      <c r="I21" s="1">
        <v>1993</v>
      </c>
      <c r="J21" s="5">
        <f t="shared" si="0"/>
        <v>12</v>
      </c>
      <c r="K21" s="2">
        <f t="shared" si="1"/>
        <v>1688.7850000000001</v>
      </c>
    </row>
    <row r="22" spans="1:11" x14ac:dyDescent="0.3">
      <c r="A22" s="1">
        <v>1985</v>
      </c>
      <c r="B22" s="1">
        <v>9</v>
      </c>
      <c r="C22" s="1">
        <v>15</v>
      </c>
      <c r="D22" s="6">
        <v>1985.7041099999999</v>
      </c>
      <c r="E22" s="2">
        <v>1619.5</v>
      </c>
      <c r="F22" s="3">
        <v>1.8859999999999999</v>
      </c>
      <c r="G22" s="3">
        <v>17.213999999999999</v>
      </c>
      <c r="H22" s="1" t="s">
        <v>10</v>
      </c>
      <c r="I22" s="1">
        <v>1994</v>
      </c>
      <c r="J22" s="5">
        <f t="shared" si="0"/>
        <v>12</v>
      </c>
      <c r="K22" s="2">
        <f t="shared" si="1"/>
        <v>1693.9933333333331</v>
      </c>
    </row>
    <row r="23" spans="1:11" x14ac:dyDescent="0.3">
      <c r="A23" s="1">
        <v>1985</v>
      </c>
      <c r="B23" s="1">
        <v>10</v>
      </c>
      <c r="C23" s="1">
        <v>15</v>
      </c>
      <c r="D23" s="6">
        <v>1985.7863010000001</v>
      </c>
      <c r="E23" s="2">
        <v>1619.68</v>
      </c>
      <c r="F23" s="3">
        <v>2.9775999999999998</v>
      </c>
      <c r="G23" s="3">
        <v>15.321</v>
      </c>
      <c r="H23" s="1" t="s">
        <v>10</v>
      </c>
      <c r="I23" s="1">
        <v>1995</v>
      </c>
      <c r="J23" s="5">
        <f t="shared" si="0"/>
        <v>12</v>
      </c>
      <c r="K23" s="2">
        <f t="shared" si="1"/>
        <v>1700.4491666666663</v>
      </c>
    </row>
    <row r="24" spans="1:11" x14ac:dyDescent="0.3">
      <c r="A24" s="1">
        <v>1985</v>
      </c>
      <c r="B24" s="1">
        <v>11</v>
      </c>
      <c r="C24" s="1">
        <v>15</v>
      </c>
      <c r="D24" s="6">
        <v>1985.8712330000001</v>
      </c>
      <c r="E24" s="2">
        <v>1615.43</v>
      </c>
      <c r="F24" s="3">
        <v>3.2610999999999999</v>
      </c>
      <c r="G24" s="3">
        <v>14.811999999999999</v>
      </c>
      <c r="H24" s="1" t="s">
        <v>10</v>
      </c>
      <c r="I24" s="1">
        <v>1996</v>
      </c>
      <c r="J24" s="5">
        <f t="shared" si="0"/>
        <v>12</v>
      </c>
      <c r="K24" s="2">
        <f t="shared" si="1"/>
        <v>1702.1058333333333</v>
      </c>
    </row>
    <row r="25" spans="1:11" x14ac:dyDescent="0.3">
      <c r="A25" s="1">
        <v>1985</v>
      </c>
      <c r="B25" s="1">
        <v>12</v>
      </c>
      <c r="C25" s="1">
        <v>15</v>
      </c>
      <c r="D25" s="6">
        <v>1985.9534249999999</v>
      </c>
      <c r="E25" s="2">
        <v>1606.05</v>
      </c>
      <c r="F25" s="3">
        <v>4.8292000000000002</v>
      </c>
      <c r="G25" s="3">
        <v>16.013100000000001</v>
      </c>
      <c r="H25" s="1" t="s">
        <v>10</v>
      </c>
      <c r="I25" s="1">
        <v>1997</v>
      </c>
      <c r="J25" s="5">
        <f t="shared" si="0"/>
        <v>12</v>
      </c>
      <c r="K25" s="2">
        <f t="shared" si="1"/>
        <v>1709.1591666666666</v>
      </c>
    </row>
    <row r="26" spans="1:11" x14ac:dyDescent="0.3">
      <c r="A26" s="1">
        <v>1986</v>
      </c>
      <c r="B26" s="1">
        <v>1</v>
      </c>
      <c r="C26" s="1">
        <v>15</v>
      </c>
      <c r="D26" s="6">
        <v>1986.038356</v>
      </c>
      <c r="E26" s="2">
        <v>1600.17</v>
      </c>
      <c r="F26" s="3">
        <v>1.7565999999999999</v>
      </c>
      <c r="G26" s="3">
        <v>15.815899999999999</v>
      </c>
      <c r="H26" s="1" t="s">
        <v>10</v>
      </c>
      <c r="I26" s="1">
        <v>1998</v>
      </c>
      <c r="J26" s="5">
        <f t="shared" si="0"/>
        <v>12</v>
      </c>
      <c r="K26" s="2">
        <f t="shared" si="1"/>
        <v>1716.3291666666664</v>
      </c>
    </row>
    <row r="27" spans="1:11" x14ac:dyDescent="0.3">
      <c r="A27" s="1">
        <v>1986</v>
      </c>
      <c r="B27" s="1">
        <v>2</v>
      </c>
      <c r="C27" s="1">
        <v>15</v>
      </c>
      <c r="D27" s="6">
        <v>1986.123288</v>
      </c>
      <c r="E27" s="2">
        <v>1599.06</v>
      </c>
      <c r="F27" s="3">
        <v>2.4948000000000001</v>
      </c>
      <c r="G27" s="3">
        <v>14.173</v>
      </c>
      <c r="H27" s="1" t="s">
        <v>10</v>
      </c>
      <c r="I27" s="1">
        <v>1999</v>
      </c>
      <c r="J27" s="5">
        <f t="shared" si="0"/>
        <v>12</v>
      </c>
      <c r="K27" s="2">
        <f t="shared" si="1"/>
        <v>1726.5458333333336</v>
      </c>
    </row>
    <row r="28" spans="1:11" x14ac:dyDescent="0.3">
      <c r="A28" s="1">
        <v>1986</v>
      </c>
      <c r="B28" s="1">
        <v>3</v>
      </c>
      <c r="C28" s="1">
        <v>15</v>
      </c>
      <c r="D28" s="6">
        <v>1986.2</v>
      </c>
      <c r="E28" s="2">
        <v>1599.78</v>
      </c>
      <c r="F28" s="3">
        <v>2.6568000000000001</v>
      </c>
      <c r="G28" s="3">
        <v>13.9299</v>
      </c>
      <c r="H28" s="1" t="s">
        <v>10</v>
      </c>
      <c r="I28" s="1">
        <v>2000</v>
      </c>
      <c r="J28" s="5">
        <f t="shared" si="0"/>
        <v>12</v>
      </c>
      <c r="K28" s="2">
        <f t="shared" si="1"/>
        <v>1728.0975000000001</v>
      </c>
    </row>
    <row r="29" spans="1:11" x14ac:dyDescent="0.3">
      <c r="A29" s="1">
        <v>1986</v>
      </c>
      <c r="B29" s="1">
        <v>4</v>
      </c>
      <c r="C29" s="1">
        <v>15</v>
      </c>
      <c r="D29" s="6">
        <v>1986.284932</v>
      </c>
      <c r="E29" s="2">
        <v>1605.42</v>
      </c>
      <c r="F29" s="3">
        <v>2.8386999999999998</v>
      </c>
      <c r="G29" s="3">
        <v>13.164899999999999</v>
      </c>
      <c r="H29" s="1" t="s">
        <v>10</v>
      </c>
      <c r="I29" s="1">
        <v>2001</v>
      </c>
      <c r="J29" s="5">
        <f t="shared" si="0"/>
        <v>12</v>
      </c>
      <c r="K29" s="2">
        <f t="shared" si="1"/>
        <v>1726.7758333333334</v>
      </c>
    </row>
    <row r="30" spans="1:11" x14ac:dyDescent="0.3">
      <c r="A30" s="1">
        <v>1986</v>
      </c>
      <c r="B30" s="1">
        <v>5</v>
      </c>
      <c r="C30" s="1">
        <v>15</v>
      </c>
      <c r="D30" s="6">
        <v>1986.367123</v>
      </c>
      <c r="E30" s="2">
        <v>1612.91</v>
      </c>
      <c r="F30" s="3">
        <v>2.7341000000000002</v>
      </c>
      <c r="G30" s="3">
        <v>14.2271</v>
      </c>
      <c r="H30" s="1" t="s">
        <v>10</v>
      </c>
      <c r="I30" s="1">
        <v>2002</v>
      </c>
      <c r="J30" s="5">
        <f t="shared" si="0"/>
        <v>12</v>
      </c>
      <c r="K30" s="2">
        <f t="shared" si="1"/>
        <v>1728.6433333333332</v>
      </c>
    </row>
    <row r="31" spans="1:11" x14ac:dyDescent="0.3">
      <c r="A31" s="1">
        <v>1986</v>
      </c>
      <c r="B31" s="1">
        <v>6</v>
      </c>
      <c r="C31" s="1">
        <v>15</v>
      </c>
      <c r="D31" s="6">
        <v>1986.452055</v>
      </c>
      <c r="E31" s="2">
        <v>1618.56</v>
      </c>
      <c r="F31" s="3">
        <v>2.2482000000000002</v>
      </c>
      <c r="G31" s="3">
        <v>16.8779</v>
      </c>
      <c r="H31" s="1" t="s">
        <v>10</v>
      </c>
      <c r="I31" s="1">
        <v>2003</v>
      </c>
      <c r="J31" s="5">
        <f t="shared" si="0"/>
        <v>12</v>
      </c>
      <c r="K31" s="2">
        <f t="shared" si="1"/>
        <v>1729.3808333333334</v>
      </c>
    </row>
    <row r="32" spans="1:11" x14ac:dyDescent="0.3">
      <c r="A32" s="1">
        <v>1986</v>
      </c>
      <c r="B32" s="1">
        <v>7</v>
      </c>
      <c r="C32" s="1">
        <v>15</v>
      </c>
      <c r="D32" s="6">
        <v>1986.5342470000001</v>
      </c>
      <c r="E32" s="2">
        <v>1626.29</v>
      </c>
      <c r="F32" s="3">
        <v>3.3349000000000002</v>
      </c>
      <c r="G32" s="3">
        <v>15.079000000000001</v>
      </c>
      <c r="H32" s="1" t="s">
        <v>10</v>
      </c>
      <c r="I32" s="1">
        <v>2004</v>
      </c>
      <c r="J32" s="5">
        <f t="shared" si="0"/>
        <v>12</v>
      </c>
      <c r="K32" s="2">
        <f t="shared" si="1"/>
        <v>1728.7275</v>
      </c>
    </row>
    <row r="33" spans="1:11" x14ac:dyDescent="0.3">
      <c r="A33" s="1">
        <v>1986</v>
      </c>
      <c r="B33" s="1">
        <v>8</v>
      </c>
      <c r="C33" s="1">
        <v>15</v>
      </c>
      <c r="D33" s="6">
        <v>1986.6191779999999</v>
      </c>
      <c r="E33" s="2">
        <v>1632.25</v>
      </c>
      <c r="F33" s="3">
        <v>1.4207000000000001</v>
      </c>
      <c r="G33" s="3">
        <v>12.412100000000001</v>
      </c>
      <c r="H33" s="1" t="s">
        <v>10</v>
      </c>
      <c r="I33" s="1">
        <v>2005</v>
      </c>
      <c r="J33" s="5">
        <f t="shared" si="0"/>
        <v>12</v>
      </c>
      <c r="K33" s="2">
        <f t="shared" si="1"/>
        <v>1727.9549999999999</v>
      </c>
    </row>
    <row r="34" spans="1:11" x14ac:dyDescent="0.3">
      <c r="A34" s="1">
        <v>1986</v>
      </c>
      <c r="B34" s="1">
        <v>9</v>
      </c>
      <c r="C34" s="1">
        <v>15</v>
      </c>
      <c r="D34" s="6">
        <v>1986.7041099999999</v>
      </c>
      <c r="E34" s="2">
        <v>1633.43</v>
      </c>
      <c r="F34" s="3">
        <v>1.5478000000000001</v>
      </c>
      <c r="G34" s="3">
        <v>12.785</v>
      </c>
      <c r="H34" s="1" t="s">
        <v>10</v>
      </c>
      <c r="I34" s="1">
        <v>2006</v>
      </c>
      <c r="J34" s="5">
        <f t="shared" si="0"/>
        <v>12</v>
      </c>
      <c r="K34" s="2">
        <f t="shared" si="1"/>
        <v>1727.4175000000002</v>
      </c>
    </row>
    <row r="35" spans="1:11" x14ac:dyDescent="0.3">
      <c r="A35" s="1">
        <v>1986</v>
      </c>
      <c r="B35" s="1">
        <v>10</v>
      </c>
      <c r="C35" s="1">
        <v>15</v>
      </c>
      <c r="D35" s="6">
        <v>1986.7863010000001</v>
      </c>
      <c r="E35" s="2">
        <v>1632.84</v>
      </c>
      <c r="F35" s="3">
        <v>1.5419</v>
      </c>
      <c r="G35" s="3">
        <v>14.823</v>
      </c>
      <c r="H35" s="1" t="s">
        <v>10</v>
      </c>
      <c r="I35" s="1">
        <v>2007</v>
      </c>
      <c r="J35" s="5">
        <f t="shared" si="0"/>
        <v>12</v>
      </c>
      <c r="K35" s="2">
        <f t="shared" si="1"/>
        <v>1732.9258333333335</v>
      </c>
    </row>
    <row r="36" spans="1:11" x14ac:dyDescent="0.3">
      <c r="A36" s="1">
        <v>1986</v>
      </c>
      <c r="B36" s="1">
        <v>11</v>
      </c>
      <c r="C36" s="1">
        <v>15</v>
      </c>
      <c r="D36" s="6">
        <v>1986.8712330000001</v>
      </c>
      <c r="E36" s="2">
        <v>1629.66</v>
      </c>
      <c r="F36" s="3">
        <v>2.327</v>
      </c>
      <c r="G36" s="3">
        <v>16.187999999999999</v>
      </c>
      <c r="H36" s="1" t="s">
        <v>10</v>
      </c>
      <c r="I36" s="1">
        <v>2008</v>
      </c>
      <c r="J36" s="5">
        <f t="shared" si="0"/>
        <v>12</v>
      </c>
      <c r="K36" s="2">
        <f t="shared" si="1"/>
        <v>1741.5091666666669</v>
      </c>
    </row>
    <row r="37" spans="1:11" x14ac:dyDescent="0.3">
      <c r="A37" s="1">
        <v>1986</v>
      </c>
      <c r="B37" s="1">
        <v>12</v>
      </c>
      <c r="C37" s="1">
        <v>15</v>
      </c>
      <c r="D37" s="6">
        <v>1986.9534249999999</v>
      </c>
      <c r="E37" s="2">
        <v>1622.92</v>
      </c>
      <c r="F37" s="3">
        <v>3.5327000000000002</v>
      </c>
      <c r="G37" s="3">
        <v>14.668900000000001</v>
      </c>
      <c r="H37" s="1" t="s">
        <v>10</v>
      </c>
      <c r="I37" s="1">
        <v>2009</v>
      </c>
      <c r="J37" s="5">
        <f t="shared" si="0"/>
        <v>12</v>
      </c>
      <c r="K37" s="2">
        <f t="shared" si="1"/>
        <v>1744.0458333333336</v>
      </c>
    </row>
    <row r="38" spans="1:11" x14ac:dyDescent="0.3">
      <c r="A38" s="1">
        <v>1987</v>
      </c>
      <c r="B38" s="1">
        <v>1</v>
      </c>
      <c r="C38" s="1">
        <v>15</v>
      </c>
      <c r="D38" s="6">
        <v>1987.038356</v>
      </c>
      <c r="E38" s="2">
        <v>1615.25</v>
      </c>
      <c r="F38" s="3">
        <v>2.4754999999999998</v>
      </c>
      <c r="G38" s="3">
        <v>13.151999999999999</v>
      </c>
      <c r="H38" s="1" t="s">
        <v>10</v>
      </c>
      <c r="I38" s="1">
        <v>2010</v>
      </c>
      <c r="J38" s="5">
        <f t="shared" si="0"/>
        <v>12</v>
      </c>
      <c r="K38" s="2">
        <f t="shared" si="1"/>
        <v>1750.5566666666666</v>
      </c>
    </row>
    <row r="39" spans="1:11" x14ac:dyDescent="0.3">
      <c r="A39" s="1">
        <v>1987</v>
      </c>
      <c r="B39" s="1">
        <v>2</v>
      </c>
      <c r="C39" s="1">
        <v>15</v>
      </c>
      <c r="D39" s="6">
        <v>1987.123288</v>
      </c>
      <c r="E39" s="2">
        <v>1611.48</v>
      </c>
      <c r="F39" s="3">
        <v>1.4898</v>
      </c>
      <c r="G39" s="3">
        <v>13.164999999999999</v>
      </c>
      <c r="H39" s="1" t="s">
        <v>10</v>
      </c>
      <c r="I39" s="1">
        <v>2011</v>
      </c>
      <c r="J39" s="5">
        <f t="shared" si="0"/>
        <v>12</v>
      </c>
      <c r="K39" s="2">
        <f t="shared" si="1"/>
        <v>1757.9958333333334</v>
      </c>
    </row>
    <row r="40" spans="1:11" x14ac:dyDescent="0.3">
      <c r="A40" s="1">
        <v>1987</v>
      </c>
      <c r="B40" s="1">
        <v>3</v>
      </c>
      <c r="C40" s="1">
        <v>15</v>
      </c>
      <c r="D40" s="6">
        <v>1987.2</v>
      </c>
      <c r="E40" s="2">
        <v>1612.56</v>
      </c>
      <c r="F40" s="3">
        <v>1.9057999999999999</v>
      </c>
      <c r="G40" s="3">
        <v>13.087</v>
      </c>
      <c r="H40" s="1" t="s">
        <v>10</v>
      </c>
      <c r="I40" s="1">
        <v>2012</v>
      </c>
      <c r="J40" s="5">
        <f t="shared" si="0"/>
        <v>12</v>
      </c>
      <c r="K40" s="2">
        <f t="shared" si="1"/>
        <v>1762.0625</v>
      </c>
    </row>
    <row r="41" spans="1:11" x14ac:dyDescent="0.3">
      <c r="A41" s="1">
        <v>1987</v>
      </c>
      <c r="B41" s="1">
        <v>4</v>
      </c>
      <c r="C41" s="1">
        <v>15</v>
      </c>
      <c r="D41" s="6">
        <v>1987.284932</v>
      </c>
      <c r="E41" s="2">
        <v>1620.24</v>
      </c>
      <c r="F41" s="3">
        <v>3.0276000000000001</v>
      </c>
      <c r="G41" s="3">
        <v>13.741099999999999</v>
      </c>
      <c r="H41" s="1" t="s">
        <v>10</v>
      </c>
      <c r="I41" s="1">
        <v>2013</v>
      </c>
      <c r="J41" s="5">
        <f t="shared" si="0"/>
        <v>12</v>
      </c>
      <c r="K41" s="2">
        <f t="shared" si="1"/>
        <v>1765.7641666666666</v>
      </c>
    </row>
    <row r="42" spans="1:11" x14ac:dyDescent="0.3">
      <c r="A42" s="1">
        <v>1987</v>
      </c>
      <c r="B42" s="1">
        <v>5</v>
      </c>
      <c r="C42" s="1">
        <v>15</v>
      </c>
      <c r="D42" s="6">
        <v>1987.367123</v>
      </c>
      <c r="E42" s="2">
        <v>1629.1</v>
      </c>
      <c r="F42" s="3">
        <v>4.0285000000000002</v>
      </c>
      <c r="G42" s="3">
        <v>14.241</v>
      </c>
      <c r="H42" s="1" t="s">
        <v>10</v>
      </c>
      <c r="I42" s="1">
        <v>2014</v>
      </c>
      <c r="J42" s="5">
        <f t="shared" si="0"/>
        <v>12</v>
      </c>
      <c r="K42" s="2">
        <f t="shared" si="1"/>
        <v>1775.0349999999999</v>
      </c>
    </row>
    <row r="43" spans="1:11" x14ac:dyDescent="0.3">
      <c r="A43" s="1">
        <v>1987</v>
      </c>
      <c r="B43" s="1">
        <v>6</v>
      </c>
      <c r="C43" s="1">
        <v>15</v>
      </c>
      <c r="D43" s="6">
        <v>1987.452055</v>
      </c>
      <c r="E43" s="2">
        <v>1633.22</v>
      </c>
      <c r="F43" s="3">
        <v>2.3925000000000001</v>
      </c>
      <c r="G43" s="3">
        <v>14.488</v>
      </c>
      <c r="H43" s="1" t="s">
        <v>10</v>
      </c>
      <c r="I43" s="1">
        <v>2015</v>
      </c>
      <c r="J43" s="5">
        <f t="shared" si="0"/>
        <v>12</v>
      </c>
      <c r="K43" s="2">
        <f t="shared" si="1"/>
        <v>1785.8474999999999</v>
      </c>
    </row>
    <row r="44" spans="1:11" x14ac:dyDescent="0.3">
      <c r="A44" s="1">
        <v>1987</v>
      </c>
      <c r="B44" s="1">
        <v>7</v>
      </c>
      <c r="C44" s="1">
        <v>15</v>
      </c>
      <c r="D44" s="6">
        <v>1987.5342470000001</v>
      </c>
      <c r="E44" s="2">
        <v>1639.44</v>
      </c>
      <c r="F44" s="3">
        <v>3.1707999999999998</v>
      </c>
      <c r="G44" s="3">
        <v>14.52</v>
      </c>
      <c r="H44" s="1" t="s">
        <v>10</v>
      </c>
      <c r="I44" s="1">
        <v>2016</v>
      </c>
      <c r="J44" s="5">
        <f t="shared" si="0"/>
        <v>12</v>
      </c>
      <c r="K44" s="2">
        <f t="shared" si="1"/>
        <v>1791.8975</v>
      </c>
    </row>
    <row r="45" spans="1:11" x14ac:dyDescent="0.3">
      <c r="A45" s="1">
        <v>1987</v>
      </c>
      <c r="B45" s="1">
        <v>8</v>
      </c>
      <c r="C45" s="1">
        <v>15</v>
      </c>
      <c r="D45" s="6">
        <v>1987.6191779999999</v>
      </c>
      <c r="E45" s="2">
        <v>1645.41</v>
      </c>
      <c r="F45" s="3">
        <v>1.8137000000000001</v>
      </c>
      <c r="G45" s="3">
        <v>10.992900000000001</v>
      </c>
      <c r="H45" s="1" t="s">
        <v>10</v>
      </c>
      <c r="I45" s="1">
        <v>2017</v>
      </c>
      <c r="J45" s="5">
        <f t="shared" si="0"/>
        <v>12</v>
      </c>
      <c r="K45" s="2">
        <f t="shared" si="1"/>
        <v>1798.5516666666663</v>
      </c>
    </row>
    <row r="46" spans="1:11" x14ac:dyDescent="0.3">
      <c r="A46" s="1">
        <v>1987</v>
      </c>
      <c r="B46" s="1">
        <v>9</v>
      </c>
      <c r="C46" s="1">
        <v>15</v>
      </c>
      <c r="D46" s="6">
        <v>1987.7041099999999</v>
      </c>
      <c r="E46" s="2">
        <v>1646.52</v>
      </c>
      <c r="F46" s="3">
        <v>1.5437000000000001</v>
      </c>
      <c r="G46" s="3">
        <v>9.9599600000000006</v>
      </c>
      <c r="H46" s="1" t="s">
        <v>10</v>
      </c>
      <c r="I46" s="1">
        <v>2018</v>
      </c>
      <c r="J46" s="5">
        <f t="shared" si="0"/>
        <v>12</v>
      </c>
      <c r="K46" s="2">
        <f t="shared" si="1"/>
        <v>1809.9958333333332</v>
      </c>
    </row>
    <row r="47" spans="1:11" x14ac:dyDescent="0.3">
      <c r="A47" s="1">
        <v>1987</v>
      </c>
      <c r="B47" s="1">
        <v>10</v>
      </c>
      <c r="C47" s="1">
        <v>15</v>
      </c>
      <c r="D47" s="6">
        <v>1987.7863010000001</v>
      </c>
      <c r="E47" s="2">
        <v>1646.59</v>
      </c>
      <c r="F47" s="3">
        <v>1.4175</v>
      </c>
      <c r="G47" s="3">
        <v>9.9660600000000006</v>
      </c>
      <c r="H47" s="1" t="s">
        <v>10</v>
      </c>
      <c r="I47" s="1">
        <v>2019</v>
      </c>
      <c r="J47" s="5">
        <f t="shared" si="0"/>
        <v>12</v>
      </c>
      <c r="K47" s="2">
        <f t="shared" si="1"/>
        <v>1816.0291666666665</v>
      </c>
    </row>
    <row r="48" spans="1:11" x14ac:dyDescent="0.3">
      <c r="A48" s="1">
        <v>1987</v>
      </c>
      <c r="B48" s="1">
        <v>11</v>
      </c>
      <c r="C48" s="1">
        <v>15</v>
      </c>
      <c r="D48" s="6">
        <v>1987.8712330000001</v>
      </c>
      <c r="E48" s="2">
        <v>1643.9</v>
      </c>
      <c r="F48" s="3">
        <v>3.9222999999999999</v>
      </c>
      <c r="G48" s="3">
        <v>7.9570299999999996</v>
      </c>
      <c r="H48" s="1" t="s">
        <v>10</v>
      </c>
      <c r="I48" s="1">
        <v>2020</v>
      </c>
      <c r="J48" s="5">
        <f t="shared" si="0"/>
        <v>12</v>
      </c>
      <c r="K48" s="2">
        <f t="shared" si="1"/>
        <v>1824.3999999999999</v>
      </c>
    </row>
    <row r="49" spans="1:11" x14ac:dyDescent="0.3">
      <c r="A49" s="1">
        <v>1987</v>
      </c>
      <c r="B49" s="1">
        <v>12</v>
      </c>
      <c r="C49" s="1">
        <v>15</v>
      </c>
      <c r="D49" s="6">
        <v>1987.9534249999999</v>
      </c>
      <c r="E49" s="2">
        <v>1637.41</v>
      </c>
      <c r="F49" s="3">
        <v>2.8643000000000001</v>
      </c>
      <c r="G49" s="3">
        <v>9.6669900000000002</v>
      </c>
      <c r="H49" s="1" t="s">
        <v>10</v>
      </c>
      <c r="I49" s="1">
        <v>2021</v>
      </c>
      <c r="J49" s="5">
        <f t="shared" si="0"/>
        <v>12</v>
      </c>
      <c r="K49" s="2">
        <f t="shared" si="1"/>
        <v>1841.2875000000004</v>
      </c>
    </row>
    <row r="50" spans="1:11" x14ac:dyDescent="0.3">
      <c r="A50" s="1">
        <v>1988</v>
      </c>
      <c r="B50" s="1">
        <v>1</v>
      </c>
      <c r="C50" s="1">
        <v>15</v>
      </c>
      <c r="D50" s="6">
        <v>1988.0382509999999</v>
      </c>
      <c r="E50" s="2">
        <v>1629.77</v>
      </c>
      <c r="F50" s="3">
        <v>3.1057000000000001</v>
      </c>
      <c r="G50" s="3">
        <v>10.610099999999999</v>
      </c>
      <c r="H50" s="1" t="s">
        <v>10</v>
      </c>
      <c r="I50" s="1">
        <v>2022</v>
      </c>
      <c r="J50" s="5">
        <f t="shared" si="0"/>
        <v>12</v>
      </c>
      <c r="K50" s="2">
        <f t="shared" si="1"/>
        <v>1859</v>
      </c>
    </row>
    <row r="51" spans="1:11" x14ac:dyDescent="0.3">
      <c r="A51" s="1">
        <v>1988</v>
      </c>
      <c r="B51" s="1">
        <v>2</v>
      </c>
      <c r="C51" s="1">
        <v>15</v>
      </c>
      <c r="D51" s="6">
        <v>1988.1229510000001</v>
      </c>
      <c r="E51" s="2">
        <v>1622.47</v>
      </c>
      <c r="F51" s="3">
        <v>2.4893000000000001</v>
      </c>
      <c r="G51" s="3">
        <v>9.7070299999999996</v>
      </c>
      <c r="H51" s="1" t="s">
        <v>10</v>
      </c>
      <c r="I51" s="1">
        <v>2023</v>
      </c>
      <c r="J51" s="5">
        <f t="shared" si="0"/>
        <v>12</v>
      </c>
      <c r="K51" s="2">
        <f t="shared" si="1"/>
        <v>1872.1241666666665</v>
      </c>
    </row>
    <row r="52" spans="1:11" x14ac:dyDescent="0.3">
      <c r="A52" s="1">
        <v>1988</v>
      </c>
      <c r="B52" s="1">
        <v>3</v>
      </c>
      <c r="C52" s="1">
        <v>15</v>
      </c>
      <c r="D52" s="6">
        <v>1988.202186</v>
      </c>
      <c r="E52" s="2">
        <v>1622.52</v>
      </c>
      <c r="F52" s="3">
        <v>3.4129</v>
      </c>
      <c r="G52" s="3">
        <v>11.42</v>
      </c>
      <c r="H52" s="1" t="s">
        <v>10</v>
      </c>
    </row>
    <row r="53" spans="1:11" x14ac:dyDescent="0.3">
      <c r="A53" s="1">
        <v>1988</v>
      </c>
      <c r="B53" s="1">
        <v>4</v>
      </c>
      <c r="C53" s="1">
        <v>15</v>
      </c>
      <c r="D53" s="6">
        <v>1988.286885</v>
      </c>
      <c r="E53" s="2">
        <v>1630.21</v>
      </c>
      <c r="F53" s="3">
        <v>4.7252000000000001</v>
      </c>
      <c r="G53" s="3">
        <v>11.548</v>
      </c>
      <c r="H53" s="1" t="s">
        <v>10</v>
      </c>
    </row>
    <row r="54" spans="1:11" x14ac:dyDescent="0.3">
      <c r="A54" s="1">
        <v>1988</v>
      </c>
      <c r="B54" s="1">
        <v>5</v>
      </c>
      <c r="C54" s="1">
        <v>15</v>
      </c>
      <c r="D54" s="6">
        <v>1988.3688520000001</v>
      </c>
      <c r="E54" s="2">
        <v>1637.06</v>
      </c>
      <c r="F54" s="3">
        <v>2.5829</v>
      </c>
      <c r="G54" s="3">
        <v>8.1619899999999994</v>
      </c>
      <c r="H54" s="1" t="s">
        <v>10</v>
      </c>
    </row>
    <row r="55" spans="1:11" x14ac:dyDescent="0.3">
      <c r="A55" s="1">
        <v>1988</v>
      </c>
      <c r="B55" s="1">
        <v>6</v>
      </c>
      <c r="C55" s="1">
        <v>15</v>
      </c>
      <c r="D55" s="6">
        <v>1988.4535519999999</v>
      </c>
      <c r="E55" s="2">
        <v>1642.89</v>
      </c>
      <c r="F55" s="3">
        <v>2.7092000000000001</v>
      </c>
      <c r="G55" s="3">
        <v>6.2580600000000004</v>
      </c>
      <c r="H55" s="1" t="s">
        <v>10</v>
      </c>
    </row>
    <row r="56" spans="1:11" x14ac:dyDescent="0.3">
      <c r="A56" s="1">
        <v>1988</v>
      </c>
      <c r="B56" s="1">
        <v>7</v>
      </c>
      <c r="C56" s="1">
        <v>15</v>
      </c>
      <c r="D56" s="6">
        <v>1988.535519</v>
      </c>
      <c r="E56" s="2">
        <v>1650.06</v>
      </c>
      <c r="F56" s="3">
        <v>2.1252</v>
      </c>
      <c r="G56" s="3">
        <v>11.827</v>
      </c>
      <c r="H56" s="1" t="s">
        <v>10</v>
      </c>
    </row>
    <row r="57" spans="1:11" x14ac:dyDescent="0.3">
      <c r="A57" s="1">
        <v>1988</v>
      </c>
      <c r="B57" s="1">
        <v>8</v>
      </c>
      <c r="C57" s="1">
        <v>15</v>
      </c>
      <c r="D57" s="6">
        <v>1988.6202189999999</v>
      </c>
      <c r="E57" s="2">
        <v>1655.12</v>
      </c>
      <c r="F57" s="3">
        <v>2.3174999999999999</v>
      </c>
      <c r="G57" s="3">
        <v>20.241099999999999</v>
      </c>
      <c r="H57" s="1" t="s">
        <v>10</v>
      </c>
    </row>
    <row r="58" spans="1:11" x14ac:dyDescent="0.3">
      <c r="A58" s="1">
        <v>1988</v>
      </c>
      <c r="B58" s="1">
        <v>9</v>
      </c>
      <c r="C58" s="1">
        <v>15</v>
      </c>
      <c r="D58" s="6">
        <v>1988.7049179999999</v>
      </c>
      <c r="E58" s="2">
        <v>1657.94</v>
      </c>
      <c r="F58" s="3">
        <v>2.0752999999999999</v>
      </c>
      <c r="G58" s="3">
        <v>17.891999999999999</v>
      </c>
      <c r="H58" s="1" t="s">
        <v>10</v>
      </c>
    </row>
    <row r="59" spans="1:11" x14ac:dyDescent="0.3">
      <c r="A59" s="1">
        <v>1988</v>
      </c>
      <c r="B59" s="1">
        <v>10</v>
      </c>
      <c r="C59" s="1">
        <v>15</v>
      </c>
      <c r="D59" s="6">
        <v>1988.786885</v>
      </c>
      <c r="E59" s="2">
        <v>1658.13</v>
      </c>
      <c r="F59" s="3">
        <v>1.9109</v>
      </c>
      <c r="G59" s="3">
        <v>11.9419</v>
      </c>
      <c r="H59" s="1" t="s">
        <v>10</v>
      </c>
    </row>
    <row r="60" spans="1:11" x14ac:dyDescent="0.3">
      <c r="A60" s="1">
        <v>1988</v>
      </c>
      <c r="B60" s="1">
        <v>11</v>
      </c>
      <c r="C60" s="1">
        <v>15</v>
      </c>
      <c r="D60" s="6">
        <v>1988.8715850000001</v>
      </c>
      <c r="E60" s="2">
        <v>1652.06</v>
      </c>
      <c r="F60" s="3">
        <v>3.95</v>
      </c>
      <c r="G60" s="3">
        <v>12.887</v>
      </c>
      <c r="H60" s="1" t="s">
        <v>10</v>
      </c>
    </row>
    <row r="61" spans="1:11" x14ac:dyDescent="0.3">
      <c r="A61" s="1">
        <v>1988</v>
      </c>
      <c r="B61" s="1">
        <v>12</v>
      </c>
      <c r="C61" s="1">
        <v>15</v>
      </c>
      <c r="D61" s="6">
        <v>1988.9535519999999</v>
      </c>
      <c r="E61" s="2">
        <v>1643.67</v>
      </c>
      <c r="F61" s="3">
        <v>2.5897999999999999</v>
      </c>
      <c r="G61" s="3">
        <v>14.384</v>
      </c>
      <c r="H61" s="1" t="s">
        <v>10</v>
      </c>
    </row>
    <row r="62" spans="1:11" x14ac:dyDescent="0.3">
      <c r="A62" s="1">
        <v>1989</v>
      </c>
      <c r="B62" s="1">
        <v>1</v>
      </c>
      <c r="C62" s="1">
        <v>15</v>
      </c>
      <c r="D62" s="6">
        <v>1989.038356</v>
      </c>
      <c r="E62" s="2">
        <v>1641.59</v>
      </c>
      <c r="F62" s="3">
        <v>2.9361000000000002</v>
      </c>
      <c r="G62" s="3">
        <v>13.877000000000001</v>
      </c>
      <c r="H62" s="1" t="s">
        <v>10</v>
      </c>
    </row>
    <row r="63" spans="1:11" x14ac:dyDescent="0.3">
      <c r="A63" s="1">
        <v>1989</v>
      </c>
      <c r="B63" s="1">
        <v>2</v>
      </c>
      <c r="C63" s="1">
        <v>15</v>
      </c>
      <c r="D63" s="6">
        <v>1989.123288</v>
      </c>
      <c r="E63" s="2">
        <v>1642.71</v>
      </c>
      <c r="F63" s="3">
        <v>2.5617999999999999</v>
      </c>
      <c r="G63" s="3">
        <v>13.417999999999999</v>
      </c>
      <c r="H63" s="1" t="s">
        <v>10</v>
      </c>
    </row>
    <row r="64" spans="1:11" x14ac:dyDescent="0.3">
      <c r="A64" s="1">
        <v>1989</v>
      </c>
      <c r="B64" s="1">
        <v>3</v>
      </c>
      <c r="C64" s="1">
        <v>15</v>
      </c>
      <c r="D64" s="6">
        <v>1989.2</v>
      </c>
      <c r="E64" s="2">
        <v>1640.41</v>
      </c>
      <c r="F64" s="3">
        <v>2.1530999999999998</v>
      </c>
      <c r="G64" s="3">
        <v>11.335900000000001</v>
      </c>
      <c r="H64" s="1" t="s">
        <v>10</v>
      </c>
    </row>
    <row r="65" spans="1:8" x14ac:dyDescent="0.3">
      <c r="A65" s="1">
        <v>1989</v>
      </c>
      <c r="B65" s="1">
        <v>4</v>
      </c>
      <c r="C65" s="1">
        <v>15</v>
      </c>
      <c r="D65" s="6">
        <v>1989.284932</v>
      </c>
      <c r="E65" s="2">
        <v>1642.15</v>
      </c>
      <c r="F65" s="3">
        <v>2.7277</v>
      </c>
      <c r="G65" s="3">
        <v>10.266</v>
      </c>
      <c r="H65" s="1" t="s">
        <v>10</v>
      </c>
    </row>
    <row r="66" spans="1:8" x14ac:dyDescent="0.3">
      <c r="A66" s="1">
        <v>1989</v>
      </c>
      <c r="B66" s="1">
        <v>5</v>
      </c>
      <c r="C66" s="1">
        <v>15</v>
      </c>
      <c r="D66" s="6">
        <v>1989.367123</v>
      </c>
      <c r="E66" s="2">
        <v>1649.94</v>
      </c>
      <c r="F66" s="3">
        <v>3.9908999999999999</v>
      </c>
      <c r="G66" s="3">
        <v>12.561</v>
      </c>
      <c r="H66" s="1" t="s">
        <v>10</v>
      </c>
    </row>
    <row r="67" spans="1:8" x14ac:dyDescent="0.3">
      <c r="A67" s="1">
        <v>1989</v>
      </c>
      <c r="B67" s="1">
        <v>6</v>
      </c>
      <c r="C67" s="1">
        <v>15</v>
      </c>
      <c r="D67" s="6">
        <v>1989.452055</v>
      </c>
      <c r="E67" s="2">
        <v>1657.28</v>
      </c>
      <c r="F67" s="3">
        <v>1.9522999999999999</v>
      </c>
      <c r="G67" s="3">
        <v>13.2</v>
      </c>
      <c r="H67" s="1" t="s">
        <v>10</v>
      </c>
    </row>
    <row r="68" spans="1:8" x14ac:dyDescent="0.3">
      <c r="A68" s="1">
        <v>1989</v>
      </c>
      <c r="B68" s="1">
        <v>7</v>
      </c>
      <c r="C68" s="1">
        <v>15</v>
      </c>
      <c r="D68" s="6">
        <v>1989.5342470000001</v>
      </c>
      <c r="E68" s="2">
        <v>1663.93</v>
      </c>
      <c r="F68" s="3">
        <v>2.7835000000000001</v>
      </c>
      <c r="G68" s="3">
        <v>7.1130399999999998</v>
      </c>
      <c r="H68" s="1" t="s">
        <v>10</v>
      </c>
    </row>
    <row r="69" spans="1:8" x14ac:dyDescent="0.3">
      <c r="A69" s="1">
        <v>1989</v>
      </c>
      <c r="B69" s="1">
        <v>8</v>
      </c>
      <c r="C69" s="1">
        <v>15</v>
      </c>
      <c r="D69" s="6">
        <v>1989.6191779999999</v>
      </c>
      <c r="E69" s="2">
        <v>1668.54</v>
      </c>
      <c r="F69" s="3">
        <v>2.3675000000000002</v>
      </c>
      <c r="G69" s="3">
        <v>1.5969199999999999</v>
      </c>
      <c r="H69" s="1" t="s">
        <v>10</v>
      </c>
    </row>
    <row r="70" spans="1:8" x14ac:dyDescent="0.3">
      <c r="A70" s="1">
        <v>1989</v>
      </c>
      <c r="B70" s="1">
        <v>9</v>
      </c>
      <c r="C70" s="1">
        <v>15</v>
      </c>
      <c r="D70" s="6">
        <v>1989.7041099999999</v>
      </c>
      <c r="E70" s="2">
        <v>1669.28</v>
      </c>
      <c r="F70" s="3">
        <v>1.9483999999999999</v>
      </c>
      <c r="G70" s="3">
        <v>4.8820800000000002</v>
      </c>
      <c r="H70" s="1" t="s">
        <v>10</v>
      </c>
    </row>
    <row r="71" spans="1:8" x14ac:dyDescent="0.3">
      <c r="A71" s="1">
        <v>1989</v>
      </c>
      <c r="B71" s="1">
        <v>10</v>
      </c>
      <c r="C71" s="1">
        <v>15</v>
      </c>
      <c r="D71" s="6">
        <v>1989.7863010000001</v>
      </c>
      <c r="E71" s="2">
        <v>1668.4</v>
      </c>
      <c r="F71" s="3">
        <v>2.2265999999999999</v>
      </c>
      <c r="G71" s="3">
        <v>8.8439899999999998</v>
      </c>
      <c r="H71" s="1" t="s">
        <v>10</v>
      </c>
    </row>
    <row r="72" spans="1:8" x14ac:dyDescent="0.3">
      <c r="A72" s="1">
        <v>1989</v>
      </c>
      <c r="B72" s="1">
        <v>11</v>
      </c>
      <c r="C72" s="1">
        <v>15</v>
      </c>
      <c r="D72" s="6">
        <v>1989.8712330000001</v>
      </c>
      <c r="E72" s="2">
        <v>1664.63</v>
      </c>
      <c r="F72" s="3">
        <v>2.5886</v>
      </c>
      <c r="G72" s="3">
        <v>9.3610799999999994</v>
      </c>
      <c r="H72" s="1" t="s">
        <v>10</v>
      </c>
    </row>
    <row r="73" spans="1:8" x14ac:dyDescent="0.3">
      <c r="A73" s="1">
        <v>1989</v>
      </c>
      <c r="B73" s="1">
        <v>12</v>
      </c>
      <c r="C73" s="1">
        <v>15</v>
      </c>
      <c r="D73" s="6">
        <v>1989.9534249999999</v>
      </c>
      <c r="E73" s="2">
        <v>1656.87</v>
      </c>
      <c r="F73" s="3">
        <v>3.7240000000000002</v>
      </c>
      <c r="G73" s="3">
        <v>8.8590099999999996</v>
      </c>
      <c r="H73" s="1" t="s">
        <v>10</v>
      </c>
    </row>
    <row r="74" spans="1:8" x14ac:dyDescent="0.3">
      <c r="A74" s="1">
        <v>1990</v>
      </c>
      <c r="B74" s="1">
        <v>1</v>
      </c>
      <c r="C74" s="1">
        <v>15</v>
      </c>
      <c r="D74" s="6">
        <v>1990.038356</v>
      </c>
      <c r="E74" s="2">
        <v>1648.71</v>
      </c>
      <c r="F74" s="3">
        <v>2.5004</v>
      </c>
      <c r="G74" s="3">
        <v>7.2089800000000004</v>
      </c>
      <c r="H74" s="1" t="s">
        <v>10</v>
      </c>
    </row>
    <row r="75" spans="1:8" x14ac:dyDescent="0.3">
      <c r="A75" s="1">
        <v>1990</v>
      </c>
      <c r="B75" s="1">
        <v>2</v>
      </c>
      <c r="C75" s="1">
        <v>15</v>
      </c>
      <c r="D75" s="6">
        <v>1990.123288</v>
      </c>
      <c r="E75" s="2">
        <v>1644.31</v>
      </c>
      <c r="F75" s="3">
        <v>1.645</v>
      </c>
      <c r="G75" s="3">
        <v>6.2490199999999998</v>
      </c>
      <c r="H75" s="1" t="s">
        <v>10</v>
      </c>
    </row>
    <row r="76" spans="1:8" x14ac:dyDescent="0.3">
      <c r="A76" s="1">
        <v>1990</v>
      </c>
      <c r="B76" s="1">
        <v>3</v>
      </c>
      <c r="C76" s="1">
        <v>15</v>
      </c>
      <c r="D76" s="6">
        <v>1990.2</v>
      </c>
      <c r="E76" s="2">
        <v>1645.3</v>
      </c>
      <c r="F76" s="3">
        <v>1.6475</v>
      </c>
      <c r="G76" s="3">
        <v>7.0839800000000004</v>
      </c>
      <c r="H76" s="1" t="s">
        <v>10</v>
      </c>
    </row>
    <row r="77" spans="1:8" x14ac:dyDescent="0.3">
      <c r="A77" s="1">
        <v>1990</v>
      </c>
      <c r="B77" s="1">
        <v>4</v>
      </c>
      <c r="C77" s="1">
        <v>15</v>
      </c>
      <c r="D77" s="6">
        <v>1990.284932</v>
      </c>
      <c r="E77" s="2">
        <v>1651</v>
      </c>
      <c r="F77" s="3">
        <v>2.2603</v>
      </c>
      <c r="G77" s="3">
        <v>8.1359899999999996</v>
      </c>
      <c r="H77" s="1" t="s">
        <v>10</v>
      </c>
    </row>
    <row r="78" spans="1:8" x14ac:dyDescent="0.3">
      <c r="A78" s="1">
        <v>1990</v>
      </c>
      <c r="B78" s="1">
        <v>5</v>
      </c>
      <c r="C78" s="1">
        <v>15</v>
      </c>
      <c r="D78" s="6">
        <v>1990.367123</v>
      </c>
      <c r="E78" s="2">
        <v>1659.31</v>
      </c>
      <c r="F78" s="3">
        <v>2.923</v>
      </c>
      <c r="G78" s="3">
        <v>9.2440200000000008</v>
      </c>
      <c r="H78" s="1" t="s">
        <v>10</v>
      </c>
    </row>
    <row r="79" spans="1:8" x14ac:dyDescent="0.3">
      <c r="A79" s="1">
        <v>1990</v>
      </c>
      <c r="B79" s="1">
        <v>6</v>
      </c>
      <c r="C79" s="1">
        <v>15</v>
      </c>
      <c r="D79" s="6">
        <v>1990.452055</v>
      </c>
      <c r="E79" s="2">
        <v>1666.14</v>
      </c>
      <c r="F79" s="3">
        <v>3.7412999999999998</v>
      </c>
      <c r="G79" s="3">
        <v>8.7669700000000006</v>
      </c>
      <c r="H79" s="1" t="s">
        <v>10</v>
      </c>
    </row>
    <row r="80" spans="1:8" x14ac:dyDescent="0.3">
      <c r="A80" s="1">
        <v>1990</v>
      </c>
      <c r="B80" s="1">
        <v>7</v>
      </c>
      <c r="C80" s="1">
        <v>15</v>
      </c>
      <c r="D80" s="6">
        <v>1990.5342470000001</v>
      </c>
      <c r="E80" s="2">
        <v>1671.14</v>
      </c>
      <c r="F80" s="3">
        <v>2.0501</v>
      </c>
      <c r="G80" s="3">
        <v>7.0479700000000003</v>
      </c>
      <c r="H80" s="1" t="s">
        <v>10</v>
      </c>
    </row>
    <row r="81" spans="1:8" x14ac:dyDescent="0.3">
      <c r="A81" s="1">
        <v>1990</v>
      </c>
      <c r="B81" s="1">
        <v>8</v>
      </c>
      <c r="C81" s="1">
        <v>15</v>
      </c>
      <c r="D81" s="6">
        <v>1990.6191779999999</v>
      </c>
      <c r="E81" s="2">
        <v>1674.79</v>
      </c>
      <c r="F81" s="3">
        <v>2.3426999999999998</v>
      </c>
      <c r="G81" s="3">
        <v>8.2630599999999994</v>
      </c>
      <c r="H81" s="1" t="s">
        <v>10</v>
      </c>
    </row>
    <row r="82" spans="1:8" x14ac:dyDescent="0.3">
      <c r="A82" s="1">
        <v>1990</v>
      </c>
      <c r="B82" s="1">
        <v>9</v>
      </c>
      <c r="C82" s="1">
        <v>15</v>
      </c>
      <c r="D82" s="6">
        <v>1990.7041099999999</v>
      </c>
      <c r="E82" s="2">
        <v>1676.36</v>
      </c>
      <c r="F82" s="3">
        <v>2.4550999999999998</v>
      </c>
      <c r="G82" s="3">
        <v>9.0429700000000004</v>
      </c>
      <c r="H82" s="1" t="s">
        <v>10</v>
      </c>
    </row>
    <row r="83" spans="1:8" x14ac:dyDescent="0.3">
      <c r="A83" s="1">
        <v>1990</v>
      </c>
      <c r="B83" s="1">
        <v>10</v>
      </c>
      <c r="C83" s="1">
        <v>15</v>
      </c>
      <c r="D83" s="6">
        <v>1990.7863010000001</v>
      </c>
      <c r="E83" s="2">
        <v>1676.54</v>
      </c>
      <c r="F83" s="3">
        <v>1.4308000000000001</v>
      </c>
      <c r="G83" s="3">
        <v>9.1400100000000002</v>
      </c>
      <c r="H83" s="1" t="s">
        <v>10</v>
      </c>
    </row>
    <row r="84" spans="1:8" x14ac:dyDescent="0.3">
      <c r="A84" s="1">
        <v>1990</v>
      </c>
      <c r="B84" s="1">
        <v>11</v>
      </c>
      <c r="C84" s="1">
        <v>15</v>
      </c>
      <c r="D84" s="6">
        <v>1990.8712330000001</v>
      </c>
      <c r="E84" s="2">
        <v>1673.87</v>
      </c>
      <c r="F84" s="3">
        <v>2.2298</v>
      </c>
      <c r="G84" s="3">
        <v>10.132899999999999</v>
      </c>
      <c r="H84" s="1" t="s">
        <v>10</v>
      </c>
    </row>
    <row r="85" spans="1:8" x14ac:dyDescent="0.3">
      <c r="A85" s="1">
        <v>1990</v>
      </c>
      <c r="B85" s="1">
        <v>12</v>
      </c>
      <c r="C85" s="1">
        <v>15</v>
      </c>
      <c r="D85" s="6">
        <v>1990.9534249999999</v>
      </c>
      <c r="E85" s="2">
        <v>1665.64</v>
      </c>
      <c r="F85" s="3">
        <v>3.5131999999999999</v>
      </c>
      <c r="G85" s="3">
        <v>9.50793</v>
      </c>
      <c r="H85" s="1" t="s">
        <v>10</v>
      </c>
    </row>
    <row r="86" spans="1:8" x14ac:dyDescent="0.3">
      <c r="A86" s="1">
        <v>1991</v>
      </c>
      <c r="B86" s="1">
        <v>1</v>
      </c>
      <c r="C86" s="1">
        <v>15</v>
      </c>
      <c r="D86" s="6">
        <v>1991.038356</v>
      </c>
      <c r="E86" s="2">
        <v>1655.76</v>
      </c>
      <c r="F86" s="3">
        <v>2.4380000000000002</v>
      </c>
      <c r="G86" s="3">
        <v>10.051</v>
      </c>
      <c r="H86" s="1" t="s">
        <v>10</v>
      </c>
    </row>
    <row r="87" spans="1:8" x14ac:dyDescent="0.3">
      <c r="A87" s="1">
        <v>1991</v>
      </c>
      <c r="B87" s="1">
        <v>2</v>
      </c>
      <c r="C87" s="1">
        <v>15</v>
      </c>
      <c r="D87" s="6">
        <v>1991.123288</v>
      </c>
      <c r="E87" s="2">
        <v>1652.57</v>
      </c>
      <c r="F87" s="3">
        <v>1.1517999999999999</v>
      </c>
      <c r="G87" s="3">
        <v>10.651999999999999</v>
      </c>
      <c r="H87" s="1" t="s">
        <v>10</v>
      </c>
    </row>
    <row r="88" spans="1:8" x14ac:dyDescent="0.3">
      <c r="A88" s="1">
        <v>1991</v>
      </c>
      <c r="B88" s="1">
        <v>3</v>
      </c>
      <c r="C88" s="1">
        <v>15</v>
      </c>
      <c r="D88" s="6">
        <v>1991.2</v>
      </c>
      <c r="E88" s="2">
        <v>1654.34</v>
      </c>
      <c r="F88" s="3">
        <v>1.5299</v>
      </c>
      <c r="G88" s="3">
        <v>12.148999999999999</v>
      </c>
      <c r="H88" s="1" t="s">
        <v>10</v>
      </c>
    </row>
    <row r="89" spans="1:8" x14ac:dyDescent="0.3">
      <c r="A89" s="1">
        <v>1991</v>
      </c>
      <c r="B89" s="1">
        <v>4</v>
      </c>
      <c r="C89" s="1">
        <v>15</v>
      </c>
      <c r="D89" s="6">
        <v>1991.284932</v>
      </c>
      <c r="E89" s="2">
        <v>1660.14</v>
      </c>
      <c r="F89" s="3">
        <v>3.5627</v>
      </c>
      <c r="G89" s="3">
        <v>17.762</v>
      </c>
      <c r="H89" s="1" t="s">
        <v>10</v>
      </c>
    </row>
    <row r="90" spans="1:8" x14ac:dyDescent="0.3">
      <c r="A90" s="1">
        <v>1991</v>
      </c>
      <c r="B90" s="1">
        <v>5</v>
      </c>
      <c r="C90" s="1">
        <v>15</v>
      </c>
      <c r="D90" s="6">
        <v>1991.367123</v>
      </c>
      <c r="E90" s="2">
        <v>1669.44</v>
      </c>
      <c r="F90" s="3">
        <v>4.6809000000000003</v>
      </c>
      <c r="G90" s="3">
        <v>17.155999999999999</v>
      </c>
      <c r="H90" s="1" t="s">
        <v>10</v>
      </c>
    </row>
    <row r="91" spans="1:8" x14ac:dyDescent="0.3">
      <c r="A91" s="1">
        <v>1991</v>
      </c>
      <c r="B91" s="1">
        <v>6</v>
      </c>
      <c r="C91" s="1">
        <v>15</v>
      </c>
      <c r="D91" s="6">
        <v>1991.452055</v>
      </c>
      <c r="E91" s="2">
        <v>1675.64</v>
      </c>
      <c r="F91" s="3">
        <v>3.5004</v>
      </c>
      <c r="G91" s="3">
        <v>14.9701</v>
      </c>
      <c r="H91" s="1" t="s">
        <v>10</v>
      </c>
    </row>
    <row r="92" spans="1:8" x14ac:dyDescent="0.3">
      <c r="A92" s="1">
        <v>1991</v>
      </c>
      <c r="B92" s="1">
        <v>7</v>
      </c>
      <c r="C92" s="1">
        <v>15</v>
      </c>
      <c r="D92" s="6">
        <v>1991.5342470000001</v>
      </c>
      <c r="E92" s="2">
        <v>1681.19</v>
      </c>
      <c r="F92" s="3">
        <v>2.3841999999999999</v>
      </c>
      <c r="G92" s="3">
        <v>19.108000000000001</v>
      </c>
      <c r="H92" s="1" t="s">
        <v>10</v>
      </c>
    </row>
    <row r="93" spans="1:8" x14ac:dyDescent="0.3">
      <c r="A93" s="1">
        <v>1991</v>
      </c>
      <c r="B93" s="1">
        <v>8</v>
      </c>
      <c r="C93" s="1">
        <v>15</v>
      </c>
      <c r="D93" s="6">
        <v>1991.6191779999999</v>
      </c>
      <c r="E93" s="2">
        <v>1685.44</v>
      </c>
      <c r="F93" s="3">
        <v>2.2141000000000002</v>
      </c>
      <c r="G93" s="3">
        <v>19.943999999999999</v>
      </c>
      <c r="H93" s="1" t="s">
        <v>10</v>
      </c>
    </row>
    <row r="94" spans="1:8" x14ac:dyDescent="0.3">
      <c r="A94" s="1">
        <v>1991</v>
      </c>
      <c r="B94" s="1">
        <v>9</v>
      </c>
      <c r="C94" s="1">
        <v>15</v>
      </c>
      <c r="D94" s="6">
        <v>1991.7041099999999</v>
      </c>
      <c r="E94" s="2">
        <v>1688.51</v>
      </c>
      <c r="F94" s="3">
        <v>2.1798000000000002</v>
      </c>
      <c r="G94" s="3">
        <v>18.501999999999999</v>
      </c>
      <c r="H94" s="1" t="s">
        <v>10</v>
      </c>
    </row>
    <row r="95" spans="1:8" x14ac:dyDescent="0.3">
      <c r="A95" s="1">
        <v>1991</v>
      </c>
      <c r="B95" s="1">
        <v>10</v>
      </c>
      <c r="C95" s="1">
        <v>15</v>
      </c>
      <c r="D95" s="6">
        <v>1991.7863010000001</v>
      </c>
      <c r="E95" s="2">
        <v>1694.3</v>
      </c>
      <c r="F95" s="3">
        <v>4.4946000000000002</v>
      </c>
      <c r="G95" s="3">
        <v>16.556000000000001</v>
      </c>
      <c r="H95" s="1" t="s">
        <v>10</v>
      </c>
    </row>
    <row r="96" spans="1:8" x14ac:dyDescent="0.3">
      <c r="A96" s="1">
        <v>1991</v>
      </c>
      <c r="B96" s="1">
        <v>11</v>
      </c>
      <c r="C96" s="1">
        <v>15</v>
      </c>
      <c r="D96" s="6">
        <v>1991.8712330000001</v>
      </c>
      <c r="E96" s="2">
        <v>1691.03</v>
      </c>
      <c r="F96" s="3">
        <v>3.4777</v>
      </c>
      <c r="G96" s="3">
        <v>13.255000000000001</v>
      </c>
      <c r="H96" s="1" t="s">
        <v>10</v>
      </c>
    </row>
    <row r="97" spans="1:8" x14ac:dyDescent="0.3">
      <c r="A97" s="1">
        <v>1991</v>
      </c>
      <c r="B97" s="1">
        <v>12</v>
      </c>
      <c r="C97" s="1">
        <v>15</v>
      </c>
      <c r="D97" s="6">
        <v>1991.9534249999999</v>
      </c>
      <c r="E97" s="2">
        <v>1680.61</v>
      </c>
      <c r="F97" s="3">
        <v>3.2715000000000001</v>
      </c>
      <c r="G97" s="3">
        <v>13.698</v>
      </c>
      <c r="H97" s="1" t="s">
        <v>10</v>
      </c>
    </row>
    <row r="98" spans="1:8" x14ac:dyDescent="0.3">
      <c r="A98" s="1">
        <v>1992</v>
      </c>
      <c r="B98" s="1">
        <v>1</v>
      </c>
      <c r="C98" s="1">
        <v>15</v>
      </c>
      <c r="D98" s="6">
        <v>1992.0382509999999</v>
      </c>
      <c r="E98" s="2">
        <v>1674.86</v>
      </c>
      <c r="F98" s="3">
        <v>2.976</v>
      </c>
      <c r="G98" s="3">
        <v>14.658899999999999</v>
      </c>
      <c r="H98" s="1" t="s">
        <v>10</v>
      </c>
    </row>
    <row r="99" spans="1:8" x14ac:dyDescent="0.3">
      <c r="A99" s="1">
        <v>1992</v>
      </c>
      <c r="B99" s="1">
        <v>2</v>
      </c>
      <c r="C99" s="1">
        <v>15</v>
      </c>
      <c r="D99" s="6">
        <v>1992.1229510000001</v>
      </c>
      <c r="E99" s="2">
        <v>1672.52</v>
      </c>
      <c r="F99" s="3">
        <v>0.41489999999999999</v>
      </c>
      <c r="G99" s="3">
        <v>15.142899999999999</v>
      </c>
      <c r="H99" s="1" t="s">
        <v>10</v>
      </c>
    </row>
    <row r="100" spans="1:8" x14ac:dyDescent="0.3">
      <c r="A100" s="1">
        <v>1992</v>
      </c>
      <c r="B100" s="1">
        <v>3</v>
      </c>
      <c r="C100" s="1">
        <v>15</v>
      </c>
      <c r="D100" s="6">
        <v>1992.202186</v>
      </c>
      <c r="E100" s="2">
        <v>1672.84</v>
      </c>
      <c r="F100" s="3">
        <v>1.72</v>
      </c>
      <c r="G100" s="3">
        <v>13.3619</v>
      </c>
      <c r="H100" s="1" t="s">
        <v>10</v>
      </c>
    </row>
    <row r="101" spans="1:8" x14ac:dyDescent="0.3">
      <c r="A101" s="1">
        <v>1992</v>
      </c>
      <c r="B101" s="1">
        <v>4</v>
      </c>
      <c r="C101" s="1">
        <v>15</v>
      </c>
      <c r="D101" s="6">
        <v>1992.286885</v>
      </c>
      <c r="E101" s="2">
        <v>1676.69</v>
      </c>
      <c r="F101" s="3">
        <v>1.6994</v>
      </c>
      <c r="G101" s="3">
        <v>3.9340799999999998</v>
      </c>
      <c r="H101" s="1" t="s">
        <v>10</v>
      </c>
    </row>
    <row r="102" spans="1:8" x14ac:dyDescent="0.3">
      <c r="A102" s="1">
        <v>1992</v>
      </c>
      <c r="B102" s="1">
        <v>5</v>
      </c>
      <c r="C102" s="1">
        <v>15</v>
      </c>
      <c r="D102" s="6">
        <v>1992.3688520000001</v>
      </c>
      <c r="E102" s="2">
        <v>1682.69</v>
      </c>
      <c r="F102" s="3">
        <v>2.3237000000000001</v>
      </c>
      <c r="G102" s="3">
        <v>1.4639899999999999</v>
      </c>
      <c r="H102" s="1" t="s">
        <v>10</v>
      </c>
    </row>
    <row r="103" spans="1:8" x14ac:dyDescent="0.3">
      <c r="A103" s="1">
        <v>1992</v>
      </c>
      <c r="B103" s="1">
        <v>6</v>
      </c>
      <c r="C103" s="1">
        <v>15</v>
      </c>
      <c r="D103" s="6">
        <v>1992.4535519999999</v>
      </c>
      <c r="E103" s="2">
        <v>1689.34</v>
      </c>
      <c r="F103" s="3">
        <v>2.6166999999999998</v>
      </c>
      <c r="G103" s="3">
        <v>5.7539100000000003</v>
      </c>
      <c r="H103" s="1" t="s">
        <v>10</v>
      </c>
    </row>
    <row r="104" spans="1:8" x14ac:dyDescent="0.3">
      <c r="A104" s="1">
        <v>1992</v>
      </c>
      <c r="B104" s="1">
        <v>7</v>
      </c>
      <c r="C104" s="1">
        <v>15</v>
      </c>
      <c r="D104" s="6">
        <v>1992.535519</v>
      </c>
      <c r="E104" s="2">
        <v>1695.85</v>
      </c>
      <c r="F104" s="3">
        <v>2.5278999999999998</v>
      </c>
      <c r="G104" s="3">
        <v>1.8659699999999999</v>
      </c>
      <c r="H104" s="1" t="s">
        <v>10</v>
      </c>
    </row>
    <row r="105" spans="1:8" x14ac:dyDescent="0.3">
      <c r="A105" s="1">
        <v>1992</v>
      </c>
      <c r="B105" s="1">
        <v>8</v>
      </c>
      <c r="C105" s="1">
        <v>15</v>
      </c>
      <c r="D105" s="6">
        <v>1992.6202189999999</v>
      </c>
      <c r="E105" s="2">
        <v>1700.58</v>
      </c>
      <c r="F105" s="3">
        <v>1.9674</v>
      </c>
      <c r="G105" s="3">
        <v>-1.2549999999999999</v>
      </c>
      <c r="H105" s="1" t="s">
        <v>10</v>
      </c>
    </row>
    <row r="106" spans="1:8" x14ac:dyDescent="0.3">
      <c r="A106" s="1">
        <v>1992</v>
      </c>
      <c r="B106" s="1">
        <v>9</v>
      </c>
      <c r="C106" s="1">
        <v>15</v>
      </c>
      <c r="D106" s="6">
        <v>1992.7049179999999</v>
      </c>
      <c r="E106" s="2">
        <v>1701.87</v>
      </c>
      <c r="F106" s="3">
        <v>1.8499000000000001</v>
      </c>
      <c r="G106" s="3">
        <v>0.48107899999999998</v>
      </c>
      <c r="H106" s="1" t="s">
        <v>10</v>
      </c>
    </row>
    <row r="107" spans="1:8" x14ac:dyDescent="0.3">
      <c r="A107" s="1">
        <v>1992</v>
      </c>
      <c r="B107" s="1">
        <v>10</v>
      </c>
      <c r="C107" s="1">
        <v>15</v>
      </c>
      <c r="D107" s="6">
        <v>1992.786885</v>
      </c>
      <c r="E107" s="2">
        <v>1698.23</v>
      </c>
      <c r="F107" s="3">
        <v>2.3140999999999998</v>
      </c>
      <c r="G107" s="3">
        <v>2.4790000000000001</v>
      </c>
      <c r="H107" s="1" t="s">
        <v>10</v>
      </c>
    </row>
    <row r="108" spans="1:8" x14ac:dyDescent="0.3">
      <c r="A108" s="1">
        <v>1992</v>
      </c>
      <c r="B108" s="1">
        <v>11</v>
      </c>
      <c r="C108" s="1">
        <v>15</v>
      </c>
      <c r="D108" s="6">
        <v>1992.8715850000001</v>
      </c>
      <c r="E108" s="2">
        <v>1692.49</v>
      </c>
      <c r="F108" s="3">
        <v>3.6726999999999999</v>
      </c>
      <c r="G108" s="3">
        <v>3.3890400000000001</v>
      </c>
      <c r="H108" s="1" t="s">
        <v>10</v>
      </c>
    </row>
    <row r="109" spans="1:8" x14ac:dyDescent="0.3">
      <c r="A109" s="1">
        <v>1992</v>
      </c>
      <c r="B109" s="1">
        <v>12</v>
      </c>
      <c r="C109" s="1">
        <v>15</v>
      </c>
      <c r="D109" s="6">
        <v>1992.9535519999999</v>
      </c>
      <c r="E109" s="2">
        <v>1686.36</v>
      </c>
      <c r="F109" s="3">
        <v>2.6760999999999999</v>
      </c>
      <c r="G109" s="3">
        <v>2.1870099999999999</v>
      </c>
      <c r="H109" s="1" t="s">
        <v>10</v>
      </c>
    </row>
    <row r="110" spans="1:8" x14ac:dyDescent="0.3">
      <c r="A110" s="1">
        <v>1993</v>
      </c>
      <c r="B110" s="1">
        <v>1</v>
      </c>
      <c r="C110" s="1">
        <v>15</v>
      </c>
      <c r="D110" s="6">
        <v>1993.038356</v>
      </c>
      <c r="E110" s="2">
        <v>1676.73</v>
      </c>
      <c r="F110" s="3">
        <v>3.5297999999999998</v>
      </c>
      <c r="G110" s="3">
        <v>0.60510299999999995</v>
      </c>
      <c r="H110" s="1" t="s">
        <v>10</v>
      </c>
    </row>
    <row r="111" spans="1:8" x14ac:dyDescent="0.3">
      <c r="A111" s="1">
        <v>1993</v>
      </c>
      <c r="B111" s="1">
        <v>2</v>
      </c>
      <c r="C111" s="1">
        <v>15</v>
      </c>
      <c r="D111" s="6">
        <v>1993.123288</v>
      </c>
      <c r="E111" s="2">
        <v>1671.26</v>
      </c>
      <c r="F111" s="3">
        <v>1.6227</v>
      </c>
      <c r="G111" s="3">
        <v>0.45800800000000003</v>
      </c>
      <c r="H111" s="1" t="s">
        <v>10</v>
      </c>
    </row>
    <row r="112" spans="1:8" x14ac:dyDescent="0.3">
      <c r="A112" s="1">
        <v>1993</v>
      </c>
      <c r="B112" s="1">
        <v>3</v>
      </c>
      <c r="C112" s="1">
        <v>15</v>
      </c>
      <c r="D112" s="6">
        <v>1993.2</v>
      </c>
      <c r="E112" s="2">
        <v>1673.32</v>
      </c>
      <c r="F112" s="3">
        <v>3.5015999999999998</v>
      </c>
      <c r="G112" s="3">
        <v>0.54504399999999997</v>
      </c>
      <c r="H112" s="1" t="s">
        <v>10</v>
      </c>
    </row>
    <row r="113" spans="1:8" x14ac:dyDescent="0.3">
      <c r="A113" s="1">
        <v>1993</v>
      </c>
      <c r="B113" s="1">
        <v>4</v>
      </c>
      <c r="C113" s="1">
        <v>15</v>
      </c>
      <c r="D113" s="6">
        <v>1993.284932</v>
      </c>
      <c r="E113" s="2">
        <v>1679.17</v>
      </c>
      <c r="F113" s="3">
        <v>2.6278000000000001</v>
      </c>
      <c r="G113" s="3">
        <v>2.8359399999999999</v>
      </c>
      <c r="H113" s="1" t="s">
        <v>10</v>
      </c>
    </row>
    <row r="114" spans="1:8" x14ac:dyDescent="0.3">
      <c r="A114" s="1">
        <v>1993</v>
      </c>
      <c r="B114" s="1">
        <v>5</v>
      </c>
      <c r="C114" s="1">
        <v>15</v>
      </c>
      <c r="D114" s="6">
        <v>1993.367123</v>
      </c>
      <c r="E114" s="2">
        <v>1686.08</v>
      </c>
      <c r="F114" s="3">
        <v>3.1509</v>
      </c>
      <c r="G114" s="3">
        <v>4.1749299999999998</v>
      </c>
      <c r="H114" s="1" t="s">
        <v>10</v>
      </c>
    </row>
    <row r="115" spans="1:8" x14ac:dyDescent="0.3">
      <c r="A115" s="1">
        <v>1993</v>
      </c>
      <c r="B115" s="1">
        <v>6</v>
      </c>
      <c r="C115" s="1">
        <v>15</v>
      </c>
      <c r="D115" s="6">
        <v>1993.452055</v>
      </c>
      <c r="E115" s="2">
        <v>1691.53</v>
      </c>
      <c r="F115" s="3">
        <v>1.7311000000000001</v>
      </c>
      <c r="G115" s="3">
        <v>3.31799</v>
      </c>
      <c r="H115" s="1" t="s">
        <v>10</v>
      </c>
    </row>
    <row r="116" spans="1:8" x14ac:dyDescent="0.3">
      <c r="A116" s="1">
        <v>1993</v>
      </c>
      <c r="B116" s="1">
        <v>7</v>
      </c>
      <c r="C116" s="1">
        <v>15</v>
      </c>
      <c r="D116" s="6">
        <v>1993.5342470000001</v>
      </c>
      <c r="E116" s="2">
        <v>1696.46</v>
      </c>
      <c r="F116" s="3">
        <v>4.4058999999999999</v>
      </c>
      <c r="G116" s="3">
        <v>4.9950000000000001</v>
      </c>
      <c r="H116" s="1" t="s">
        <v>10</v>
      </c>
    </row>
    <row r="117" spans="1:8" x14ac:dyDescent="0.3">
      <c r="A117" s="1">
        <v>1993</v>
      </c>
      <c r="B117" s="1">
        <v>8</v>
      </c>
      <c r="C117" s="1">
        <v>15</v>
      </c>
      <c r="D117" s="6">
        <v>1993.6191779999999</v>
      </c>
      <c r="E117" s="2">
        <v>1701.04</v>
      </c>
      <c r="F117" s="3">
        <v>1.7912999999999999</v>
      </c>
      <c r="G117" s="3">
        <v>4.8520500000000002</v>
      </c>
      <c r="H117" s="1" t="s">
        <v>10</v>
      </c>
    </row>
    <row r="118" spans="1:8" x14ac:dyDescent="0.3">
      <c r="A118" s="1">
        <v>1993</v>
      </c>
      <c r="B118" s="1">
        <v>9</v>
      </c>
      <c r="C118" s="1">
        <v>15</v>
      </c>
      <c r="D118" s="6">
        <v>1993.7041099999999</v>
      </c>
      <c r="E118" s="2">
        <v>1702.42</v>
      </c>
      <c r="F118" s="3">
        <v>0.2261</v>
      </c>
      <c r="G118" s="3">
        <v>2.5499299999999998</v>
      </c>
      <c r="H118" s="1" t="s">
        <v>10</v>
      </c>
    </row>
    <row r="119" spans="1:8" x14ac:dyDescent="0.3">
      <c r="A119" s="1">
        <v>1993</v>
      </c>
      <c r="B119" s="1">
        <v>10</v>
      </c>
      <c r="C119" s="1">
        <v>15</v>
      </c>
      <c r="D119" s="6">
        <v>1993.7863010000001</v>
      </c>
      <c r="E119" s="2">
        <v>1701.07</v>
      </c>
      <c r="F119" s="3">
        <v>2.343</v>
      </c>
      <c r="G119" s="3">
        <v>2.11206</v>
      </c>
      <c r="H119" s="1" t="s">
        <v>10</v>
      </c>
    </row>
    <row r="120" spans="1:8" x14ac:dyDescent="0.3">
      <c r="A120" s="1">
        <v>1993</v>
      </c>
      <c r="B120" s="1">
        <v>11</v>
      </c>
      <c r="C120" s="1">
        <v>15</v>
      </c>
      <c r="D120" s="6">
        <v>1993.8712330000001</v>
      </c>
      <c r="E120" s="2">
        <v>1696.66</v>
      </c>
      <c r="F120" s="3">
        <v>2.1484000000000001</v>
      </c>
      <c r="G120" s="3">
        <v>3.62</v>
      </c>
      <c r="H120" s="1" t="s">
        <v>10</v>
      </c>
    </row>
    <row r="121" spans="1:8" x14ac:dyDescent="0.3">
      <c r="A121" s="1">
        <v>1993</v>
      </c>
      <c r="B121" s="1">
        <v>12</v>
      </c>
      <c r="C121" s="1">
        <v>15</v>
      </c>
      <c r="D121" s="6">
        <v>1993.9534249999999</v>
      </c>
      <c r="E121" s="2">
        <v>1689.68</v>
      </c>
      <c r="F121" s="3">
        <v>2.9085000000000001</v>
      </c>
      <c r="G121" s="3">
        <v>5.6220699999999999</v>
      </c>
      <c r="H121" s="1" t="s">
        <v>10</v>
      </c>
    </row>
    <row r="122" spans="1:8" x14ac:dyDescent="0.3">
      <c r="A122" s="1">
        <v>1994</v>
      </c>
      <c r="B122" s="1">
        <v>1</v>
      </c>
      <c r="C122" s="1">
        <v>15</v>
      </c>
      <c r="D122" s="6">
        <v>1994.038356</v>
      </c>
      <c r="E122" s="2">
        <v>1681.72</v>
      </c>
      <c r="F122" s="3">
        <v>2.3018999999999998</v>
      </c>
      <c r="G122" s="3">
        <v>6.8189700000000002</v>
      </c>
      <c r="H122" s="1" t="s">
        <v>10</v>
      </c>
    </row>
    <row r="123" spans="1:8" x14ac:dyDescent="0.3">
      <c r="A123" s="1">
        <v>1994</v>
      </c>
      <c r="B123" s="1">
        <v>2</v>
      </c>
      <c r="C123" s="1">
        <v>15</v>
      </c>
      <c r="D123" s="6">
        <v>1994.123288</v>
      </c>
      <c r="E123" s="2">
        <v>1676.11</v>
      </c>
      <c r="F123" s="3">
        <v>2.4914999999999998</v>
      </c>
      <c r="G123" s="3">
        <v>5.7919900000000002</v>
      </c>
      <c r="H123" s="1" t="s">
        <v>10</v>
      </c>
    </row>
    <row r="124" spans="1:8" x14ac:dyDescent="0.3">
      <c r="A124" s="1">
        <v>1994</v>
      </c>
      <c r="B124" s="1">
        <v>3</v>
      </c>
      <c r="C124" s="1">
        <v>15</v>
      </c>
      <c r="D124" s="6">
        <v>1994.2</v>
      </c>
      <c r="E124" s="2">
        <v>1675.87</v>
      </c>
      <c r="F124" s="3">
        <v>2.3043999999999998</v>
      </c>
      <c r="G124" s="3">
        <v>4.4210200000000004</v>
      </c>
      <c r="H124" s="1" t="s">
        <v>10</v>
      </c>
    </row>
    <row r="125" spans="1:8" x14ac:dyDescent="0.3">
      <c r="A125" s="1">
        <v>1994</v>
      </c>
      <c r="B125" s="1">
        <v>4</v>
      </c>
      <c r="C125" s="1">
        <v>15</v>
      </c>
      <c r="D125" s="6">
        <v>1994.284932</v>
      </c>
      <c r="E125" s="2">
        <v>1681.28</v>
      </c>
      <c r="F125" s="3">
        <v>3.2189999999999999</v>
      </c>
      <c r="G125" s="3">
        <v>6.5579799999999997</v>
      </c>
      <c r="H125" s="1" t="s">
        <v>10</v>
      </c>
    </row>
    <row r="126" spans="1:8" x14ac:dyDescent="0.3">
      <c r="A126" s="1">
        <v>1994</v>
      </c>
      <c r="B126" s="1">
        <v>5</v>
      </c>
      <c r="C126" s="1">
        <v>15</v>
      </c>
      <c r="D126" s="6">
        <v>1994.367123</v>
      </c>
      <c r="E126" s="2">
        <v>1689.7</v>
      </c>
      <c r="F126" s="3">
        <v>3.7675999999999998</v>
      </c>
      <c r="G126" s="3">
        <v>8.0640900000000002</v>
      </c>
      <c r="H126" s="1" t="s">
        <v>10</v>
      </c>
    </row>
    <row r="127" spans="1:8" x14ac:dyDescent="0.3">
      <c r="A127" s="1">
        <v>1994</v>
      </c>
      <c r="B127" s="1">
        <v>6</v>
      </c>
      <c r="C127" s="1">
        <v>15</v>
      </c>
      <c r="D127" s="6">
        <v>1994.452055</v>
      </c>
      <c r="E127" s="2">
        <v>1697.15</v>
      </c>
      <c r="F127" s="3">
        <v>3.1819999999999999</v>
      </c>
      <c r="G127" s="3">
        <v>7.0960700000000001</v>
      </c>
      <c r="H127" s="1" t="s">
        <v>10</v>
      </c>
    </row>
    <row r="128" spans="1:8" x14ac:dyDescent="0.3">
      <c r="A128" s="1">
        <v>1994</v>
      </c>
      <c r="B128" s="1">
        <v>7</v>
      </c>
      <c r="C128" s="1">
        <v>15</v>
      </c>
      <c r="D128" s="6">
        <v>1994.5342470000001</v>
      </c>
      <c r="E128" s="2">
        <v>1703.28</v>
      </c>
      <c r="F128" s="3">
        <v>3.0417999999999998</v>
      </c>
      <c r="G128" s="3">
        <v>8.2299799999999994</v>
      </c>
      <c r="H128" s="1" t="s">
        <v>10</v>
      </c>
    </row>
    <row r="129" spans="1:8" x14ac:dyDescent="0.3">
      <c r="A129" s="1">
        <v>1994</v>
      </c>
      <c r="B129" s="1">
        <v>8</v>
      </c>
      <c r="C129" s="1">
        <v>15</v>
      </c>
      <c r="D129" s="6">
        <v>1994.6191779999999</v>
      </c>
      <c r="E129" s="2">
        <v>1706.83</v>
      </c>
      <c r="F129" s="3">
        <v>2.5272999999999999</v>
      </c>
      <c r="G129" s="3">
        <v>9.65198</v>
      </c>
      <c r="H129" s="1" t="s">
        <v>10</v>
      </c>
    </row>
    <row r="130" spans="1:8" x14ac:dyDescent="0.3">
      <c r="A130" s="1">
        <v>1994</v>
      </c>
      <c r="B130" s="1">
        <v>9</v>
      </c>
      <c r="C130" s="1">
        <v>15</v>
      </c>
      <c r="D130" s="6">
        <v>1994.7041099999999</v>
      </c>
      <c r="E130" s="2">
        <v>1706.84</v>
      </c>
      <c r="F130" s="3">
        <v>2.5956999999999999</v>
      </c>
      <c r="G130" s="3">
        <v>8.8140900000000002</v>
      </c>
      <c r="H130" s="1" t="s">
        <v>10</v>
      </c>
    </row>
    <row r="131" spans="1:8" x14ac:dyDescent="0.3">
      <c r="A131" s="1">
        <v>1994</v>
      </c>
      <c r="B131" s="1">
        <v>10</v>
      </c>
      <c r="C131" s="1">
        <v>15</v>
      </c>
      <c r="D131" s="6">
        <v>1994.7863010000001</v>
      </c>
      <c r="E131" s="2">
        <v>1707.63</v>
      </c>
      <c r="F131" s="3">
        <v>1.2725</v>
      </c>
      <c r="G131" s="3">
        <v>7.19299</v>
      </c>
      <c r="H131" s="1" t="s">
        <v>10</v>
      </c>
    </row>
    <row r="132" spans="1:8" x14ac:dyDescent="0.3">
      <c r="A132" s="1">
        <v>1994</v>
      </c>
      <c r="B132" s="1">
        <v>11</v>
      </c>
      <c r="C132" s="1">
        <v>15</v>
      </c>
      <c r="D132" s="6">
        <v>1994.8712330000001</v>
      </c>
      <c r="E132" s="2">
        <v>1704.73</v>
      </c>
      <c r="F132" s="3">
        <v>2.7671999999999999</v>
      </c>
      <c r="G132" s="3">
        <v>5.62805</v>
      </c>
      <c r="H132" s="1" t="s">
        <v>10</v>
      </c>
    </row>
    <row r="133" spans="1:8" x14ac:dyDescent="0.3">
      <c r="A133" s="1">
        <v>1994</v>
      </c>
      <c r="B133" s="1">
        <v>12</v>
      </c>
      <c r="C133" s="1">
        <v>15</v>
      </c>
      <c r="D133" s="6">
        <v>1994.9534249999999</v>
      </c>
      <c r="E133" s="2">
        <v>1696.78</v>
      </c>
      <c r="F133" s="3">
        <v>3.2940999999999998</v>
      </c>
      <c r="G133" s="3">
        <v>4.0880099999999997</v>
      </c>
      <c r="H133" s="1" t="s">
        <v>10</v>
      </c>
    </row>
    <row r="134" spans="1:8" x14ac:dyDescent="0.3">
      <c r="A134" s="1">
        <v>1995</v>
      </c>
      <c r="B134" s="1">
        <v>1</v>
      </c>
      <c r="C134" s="1">
        <v>15</v>
      </c>
      <c r="D134" s="6">
        <v>1995.038356</v>
      </c>
      <c r="E134" s="2">
        <v>1689.95</v>
      </c>
      <c r="F134" s="3">
        <v>2.5209000000000001</v>
      </c>
      <c r="G134" s="3">
        <v>2.9830299999999998</v>
      </c>
      <c r="H134" s="1" t="s">
        <v>10</v>
      </c>
    </row>
    <row r="135" spans="1:8" x14ac:dyDescent="0.3">
      <c r="A135" s="1">
        <v>1995</v>
      </c>
      <c r="B135" s="1">
        <v>2</v>
      </c>
      <c r="C135" s="1">
        <v>15</v>
      </c>
      <c r="D135" s="6">
        <v>1995.123288</v>
      </c>
      <c r="E135" s="2">
        <v>1685.76</v>
      </c>
      <c r="F135" s="3">
        <v>1.1322000000000001</v>
      </c>
      <c r="G135" s="3">
        <v>4.97302</v>
      </c>
      <c r="H135" s="1" t="s">
        <v>10</v>
      </c>
    </row>
    <row r="136" spans="1:8" x14ac:dyDescent="0.3">
      <c r="A136" s="1">
        <v>1995</v>
      </c>
      <c r="B136" s="1">
        <v>3</v>
      </c>
      <c r="C136" s="1">
        <v>15</v>
      </c>
      <c r="D136" s="6">
        <v>1995.2</v>
      </c>
      <c r="E136" s="2">
        <v>1684.69</v>
      </c>
      <c r="F136" s="3">
        <v>2.0541</v>
      </c>
      <c r="G136" s="3">
        <v>7.9649700000000001</v>
      </c>
      <c r="H136" s="1" t="s">
        <v>10</v>
      </c>
    </row>
    <row r="137" spans="1:8" x14ac:dyDescent="0.3">
      <c r="A137" s="1">
        <v>1995</v>
      </c>
      <c r="B137" s="1">
        <v>4</v>
      </c>
      <c r="C137" s="1">
        <v>15</v>
      </c>
      <c r="D137" s="6">
        <v>1995.284932</v>
      </c>
      <c r="E137" s="2">
        <v>1688.48</v>
      </c>
      <c r="F137" s="3">
        <v>2.0377000000000001</v>
      </c>
      <c r="G137" s="3">
        <v>6.1359899999999996</v>
      </c>
      <c r="H137" s="1" t="s">
        <v>10</v>
      </c>
    </row>
    <row r="138" spans="1:8" x14ac:dyDescent="0.3">
      <c r="A138" s="1">
        <v>1995</v>
      </c>
      <c r="B138" s="1">
        <v>5</v>
      </c>
      <c r="C138" s="1">
        <v>15</v>
      </c>
      <c r="D138" s="6">
        <v>1995.367123</v>
      </c>
      <c r="E138" s="2">
        <v>1695.33</v>
      </c>
      <c r="F138" s="3">
        <v>3.2336</v>
      </c>
      <c r="G138" s="3">
        <v>5.6049800000000003</v>
      </c>
      <c r="H138" s="1" t="s">
        <v>10</v>
      </c>
    </row>
    <row r="139" spans="1:8" x14ac:dyDescent="0.3">
      <c r="A139" s="1">
        <v>1995</v>
      </c>
      <c r="B139" s="1">
        <v>6</v>
      </c>
      <c r="C139" s="1">
        <v>15</v>
      </c>
      <c r="D139" s="6">
        <v>1995.452055</v>
      </c>
      <c r="E139" s="2">
        <v>1701.24</v>
      </c>
      <c r="F139" s="3">
        <v>3.3260999999999998</v>
      </c>
      <c r="G139" s="3">
        <v>6.21692</v>
      </c>
      <c r="H139" s="1" t="s">
        <v>10</v>
      </c>
    </row>
    <row r="140" spans="1:8" x14ac:dyDescent="0.3">
      <c r="A140" s="1">
        <v>1995</v>
      </c>
      <c r="B140" s="1">
        <v>7</v>
      </c>
      <c r="C140" s="1">
        <v>15</v>
      </c>
      <c r="D140" s="6">
        <v>1995.5342470000001</v>
      </c>
      <c r="E140" s="2">
        <v>1706.26</v>
      </c>
      <c r="F140" s="3">
        <v>2.2602000000000002</v>
      </c>
      <c r="G140" s="3">
        <v>3.5770300000000002</v>
      </c>
      <c r="H140" s="1" t="s">
        <v>10</v>
      </c>
    </row>
    <row r="141" spans="1:8" x14ac:dyDescent="0.3">
      <c r="A141" s="1">
        <v>1995</v>
      </c>
      <c r="B141" s="1">
        <v>8</v>
      </c>
      <c r="C141" s="1">
        <v>15</v>
      </c>
      <c r="D141" s="6">
        <v>1995.6191779999999</v>
      </c>
      <c r="E141" s="2">
        <v>1711.8</v>
      </c>
      <c r="F141" s="3">
        <v>2.0465</v>
      </c>
      <c r="G141" s="3">
        <v>1.1498999999999999</v>
      </c>
      <c r="H141" s="1" t="s">
        <v>10</v>
      </c>
    </row>
    <row r="142" spans="1:8" x14ac:dyDescent="0.3">
      <c r="A142" s="1">
        <v>1995</v>
      </c>
      <c r="B142" s="1">
        <v>9</v>
      </c>
      <c r="C142" s="1">
        <v>15</v>
      </c>
      <c r="D142" s="6">
        <v>1995.7041099999999</v>
      </c>
      <c r="E142" s="2">
        <v>1714.8</v>
      </c>
      <c r="F142" s="3">
        <v>1.9052</v>
      </c>
      <c r="G142" s="3">
        <v>0.12402299999999999</v>
      </c>
      <c r="H142" s="1" t="s">
        <v>10</v>
      </c>
    </row>
    <row r="143" spans="1:8" x14ac:dyDescent="0.3">
      <c r="A143" s="1">
        <v>1995</v>
      </c>
      <c r="B143" s="1">
        <v>10</v>
      </c>
      <c r="C143" s="1">
        <v>15</v>
      </c>
      <c r="D143" s="6">
        <v>1995.7863010000001</v>
      </c>
      <c r="E143" s="2">
        <v>1713.76</v>
      </c>
      <c r="F143" s="3">
        <v>2.4066999999999998</v>
      </c>
      <c r="G143" s="3">
        <v>1.6159699999999999</v>
      </c>
      <c r="H143" s="1" t="s">
        <v>10</v>
      </c>
    </row>
    <row r="144" spans="1:8" x14ac:dyDescent="0.3">
      <c r="A144" s="1">
        <v>1995</v>
      </c>
      <c r="B144" s="1">
        <v>11</v>
      </c>
      <c r="C144" s="1">
        <v>15</v>
      </c>
      <c r="D144" s="6">
        <v>1995.8712330000001</v>
      </c>
      <c r="E144" s="2">
        <v>1710.33</v>
      </c>
      <c r="F144" s="3">
        <v>2.3388</v>
      </c>
      <c r="G144" s="3">
        <v>3.09497</v>
      </c>
      <c r="H144" s="1" t="s">
        <v>10</v>
      </c>
    </row>
    <row r="145" spans="1:8" x14ac:dyDescent="0.3">
      <c r="A145" s="1">
        <v>1995</v>
      </c>
      <c r="B145" s="1">
        <v>12</v>
      </c>
      <c r="C145" s="1">
        <v>15</v>
      </c>
      <c r="D145" s="6">
        <v>1995.9534249999999</v>
      </c>
      <c r="E145" s="2">
        <v>1702.99</v>
      </c>
      <c r="F145" s="3">
        <v>3.4763999999999999</v>
      </c>
      <c r="G145" s="3">
        <v>2.4740000000000002</v>
      </c>
      <c r="H145" s="1" t="s">
        <v>10</v>
      </c>
    </row>
    <row r="146" spans="1:8" x14ac:dyDescent="0.3">
      <c r="A146" s="1">
        <v>1996</v>
      </c>
      <c r="B146" s="1">
        <v>1</v>
      </c>
      <c r="C146" s="1">
        <v>15</v>
      </c>
      <c r="D146" s="6">
        <v>1996.0382509999999</v>
      </c>
      <c r="E146" s="2">
        <v>1693.53</v>
      </c>
      <c r="F146" s="3">
        <v>3.3693</v>
      </c>
      <c r="G146" s="3">
        <v>2.8319100000000001</v>
      </c>
      <c r="H146" s="1" t="s">
        <v>10</v>
      </c>
    </row>
    <row r="147" spans="1:8" x14ac:dyDescent="0.3">
      <c r="A147" s="1">
        <v>1996</v>
      </c>
      <c r="B147" s="1">
        <v>2</v>
      </c>
      <c r="C147" s="1">
        <v>15</v>
      </c>
      <c r="D147" s="6">
        <v>1996.1229510000001</v>
      </c>
      <c r="E147" s="2">
        <v>1686.91</v>
      </c>
      <c r="F147" s="3">
        <v>2.5146000000000002</v>
      </c>
      <c r="G147" s="3">
        <v>2.8990499999999999</v>
      </c>
      <c r="H147" s="1" t="s">
        <v>10</v>
      </c>
    </row>
    <row r="148" spans="1:8" x14ac:dyDescent="0.3">
      <c r="A148" s="1">
        <v>1996</v>
      </c>
      <c r="B148" s="1">
        <v>3</v>
      </c>
      <c r="C148" s="1">
        <v>15</v>
      </c>
      <c r="D148" s="6">
        <v>1996.202186</v>
      </c>
      <c r="E148" s="2">
        <v>1684.81</v>
      </c>
      <c r="F148" s="3">
        <v>3.2361</v>
      </c>
      <c r="G148" s="3">
        <v>1.81396</v>
      </c>
      <c r="H148" s="1" t="s">
        <v>10</v>
      </c>
    </row>
    <row r="149" spans="1:8" x14ac:dyDescent="0.3">
      <c r="A149" s="1">
        <v>1996</v>
      </c>
      <c r="B149" s="1">
        <v>4</v>
      </c>
      <c r="C149" s="1">
        <v>15</v>
      </c>
      <c r="D149" s="6">
        <v>1996.286885</v>
      </c>
      <c r="E149" s="2">
        <v>1690.09</v>
      </c>
      <c r="F149" s="3">
        <v>3.1337000000000002</v>
      </c>
      <c r="G149" s="3">
        <v>1.2251000000000001</v>
      </c>
      <c r="H149" s="1" t="s">
        <v>10</v>
      </c>
    </row>
    <row r="150" spans="1:8" x14ac:dyDescent="0.3">
      <c r="A150" s="1">
        <v>1996</v>
      </c>
      <c r="B150" s="1">
        <v>5</v>
      </c>
      <c r="C150" s="1">
        <v>15</v>
      </c>
      <c r="D150" s="6">
        <v>1996.3688520000001</v>
      </c>
      <c r="E150" s="2">
        <v>1698.43</v>
      </c>
      <c r="F150" s="3">
        <v>2.9722</v>
      </c>
      <c r="G150" s="3">
        <v>-0.29602099999999998</v>
      </c>
      <c r="H150" s="1" t="s">
        <v>10</v>
      </c>
    </row>
    <row r="151" spans="1:8" x14ac:dyDescent="0.3">
      <c r="A151" s="1">
        <v>1996</v>
      </c>
      <c r="B151" s="1">
        <v>6</v>
      </c>
      <c r="C151" s="1">
        <v>15</v>
      </c>
      <c r="D151" s="6">
        <v>1996.4535519999999</v>
      </c>
      <c r="E151" s="2">
        <v>1703.71</v>
      </c>
      <c r="F151" s="3">
        <v>2.7894999999999999</v>
      </c>
      <c r="G151" s="3">
        <v>-0.64099099999999998</v>
      </c>
      <c r="H151" s="1" t="s">
        <v>10</v>
      </c>
    </row>
    <row r="152" spans="1:8" x14ac:dyDescent="0.3">
      <c r="A152" s="1">
        <v>1996</v>
      </c>
      <c r="B152" s="1">
        <v>7</v>
      </c>
      <c r="C152" s="1">
        <v>15</v>
      </c>
      <c r="D152" s="6">
        <v>1996.535519</v>
      </c>
      <c r="E152" s="2">
        <v>1709.09</v>
      </c>
      <c r="F152" s="3">
        <v>2.5074999999999998</v>
      </c>
      <c r="G152" s="3">
        <v>1.15503</v>
      </c>
      <c r="H152" s="1" t="s">
        <v>10</v>
      </c>
    </row>
    <row r="153" spans="1:8" x14ac:dyDescent="0.3">
      <c r="A153" s="1">
        <v>1996</v>
      </c>
      <c r="B153" s="1">
        <v>8</v>
      </c>
      <c r="C153" s="1">
        <v>15</v>
      </c>
      <c r="D153" s="6">
        <v>1996.6202189999999</v>
      </c>
      <c r="E153" s="2">
        <v>1714.7</v>
      </c>
      <c r="F153" s="3">
        <v>2.6446999999999998</v>
      </c>
      <c r="G153" s="3">
        <v>4.5320999999999998</v>
      </c>
      <c r="H153" s="1" t="s">
        <v>10</v>
      </c>
    </row>
    <row r="154" spans="1:8" x14ac:dyDescent="0.3">
      <c r="A154" s="1">
        <v>1996</v>
      </c>
      <c r="B154" s="1">
        <v>9</v>
      </c>
      <c r="C154" s="1">
        <v>15</v>
      </c>
      <c r="D154" s="6">
        <v>1996.7049179999999</v>
      </c>
      <c r="E154" s="2">
        <v>1716.62</v>
      </c>
      <c r="F154" s="3">
        <v>2.1587999999999998</v>
      </c>
      <c r="G154" s="3">
        <v>10.282</v>
      </c>
      <c r="H154" s="1" t="s">
        <v>10</v>
      </c>
    </row>
    <row r="155" spans="1:8" x14ac:dyDescent="0.3">
      <c r="A155" s="1">
        <v>1996</v>
      </c>
      <c r="B155" s="1">
        <v>10</v>
      </c>
      <c r="C155" s="1">
        <v>15</v>
      </c>
      <c r="D155" s="6">
        <v>1996.786885</v>
      </c>
      <c r="E155" s="2">
        <v>1714.99</v>
      </c>
      <c r="F155" s="3">
        <v>2.0413000000000001</v>
      </c>
      <c r="G155" s="3">
        <v>10.004</v>
      </c>
      <c r="H155" s="1" t="s">
        <v>10</v>
      </c>
    </row>
    <row r="156" spans="1:8" x14ac:dyDescent="0.3">
      <c r="A156" s="1">
        <v>1996</v>
      </c>
      <c r="B156" s="1">
        <v>11</v>
      </c>
      <c r="C156" s="1">
        <v>15</v>
      </c>
      <c r="D156" s="6">
        <v>1996.8715850000001</v>
      </c>
      <c r="E156" s="2">
        <v>1710.04</v>
      </c>
      <c r="F156" s="3">
        <v>2.8089</v>
      </c>
      <c r="G156" s="3">
        <v>7.1229199999999997</v>
      </c>
      <c r="H156" s="1" t="s">
        <v>10</v>
      </c>
    </row>
    <row r="157" spans="1:8" x14ac:dyDescent="0.3">
      <c r="A157" s="1">
        <v>1996</v>
      </c>
      <c r="B157" s="1">
        <v>12</v>
      </c>
      <c r="C157" s="1">
        <v>15</v>
      </c>
      <c r="D157" s="6">
        <v>1996.9535519999999</v>
      </c>
      <c r="E157" s="2">
        <v>1702.35</v>
      </c>
      <c r="F157" s="3">
        <v>3.0958999999999999</v>
      </c>
      <c r="G157" s="3">
        <v>8.6829800000000006</v>
      </c>
      <c r="H157" s="1" t="s">
        <v>10</v>
      </c>
    </row>
    <row r="158" spans="1:8" x14ac:dyDescent="0.3">
      <c r="A158" s="1">
        <v>1997</v>
      </c>
      <c r="B158" s="1">
        <v>1</v>
      </c>
      <c r="C158" s="1">
        <v>15</v>
      </c>
      <c r="D158" s="6">
        <v>1997.038356</v>
      </c>
      <c r="E158" s="2">
        <v>1694.69</v>
      </c>
      <c r="F158" s="3">
        <v>2.5173000000000001</v>
      </c>
      <c r="G158" s="3">
        <v>8.6700400000000002</v>
      </c>
      <c r="H158" s="1" t="s">
        <v>10</v>
      </c>
    </row>
    <row r="159" spans="1:8" x14ac:dyDescent="0.3">
      <c r="A159" s="1">
        <v>1997</v>
      </c>
      <c r="B159" s="1">
        <v>2</v>
      </c>
      <c r="C159" s="1">
        <v>15</v>
      </c>
      <c r="D159" s="6">
        <v>1997.123288</v>
      </c>
      <c r="E159" s="2">
        <v>1691.45</v>
      </c>
      <c r="F159" s="3">
        <v>1.6316999999999999</v>
      </c>
      <c r="G159" s="3">
        <v>7.6859099999999998</v>
      </c>
      <c r="H159" s="1" t="s">
        <v>10</v>
      </c>
    </row>
    <row r="160" spans="1:8" x14ac:dyDescent="0.3">
      <c r="A160" s="1">
        <v>1997</v>
      </c>
      <c r="B160" s="1">
        <v>3</v>
      </c>
      <c r="C160" s="1">
        <v>15</v>
      </c>
      <c r="D160" s="6">
        <v>1997.2</v>
      </c>
      <c r="E160" s="2">
        <v>1695.09</v>
      </c>
      <c r="F160" s="3">
        <v>3.0863</v>
      </c>
      <c r="G160" s="3">
        <v>6.6180399999999997</v>
      </c>
      <c r="H160" s="1" t="s">
        <v>10</v>
      </c>
    </row>
    <row r="161" spans="1:8" x14ac:dyDescent="0.3">
      <c r="A161" s="1">
        <v>1997</v>
      </c>
      <c r="B161" s="1">
        <v>4</v>
      </c>
      <c r="C161" s="1">
        <v>15</v>
      </c>
      <c r="D161" s="6">
        <v>1997.284932</v>
      </c>
      <c r="E161" s="2">
        <v>1700.1</v>
      </c>
      <c r="F161" s="3">
        <v>2.778</v>
      </c>
      <c r="G161" s="3">
        <v>5.4709500000000002</v>
      </c>
      <c r="H161" s="1" t="s">
        <v>10</v>
      </c>
    </row>
    <row r="162" spans="1:8" x14ac:dyDescent="0.3">
      <c r="A162" s="1">
        <v>1997</v>
      </c>
      <c r="B162" s="1">
        <v>5</v>
      </c>
      <c r="C162" s="1">
        <v>15</v>
      </c>
      <c r="D162" s="6">
        <v>1997.367123</v>
      </c>
      <c r="E162" s="2">
        <v>1705.55</v>
      </c>
      <c r="F162" s="3">
        <v>2.8969999999999998</v>
      </c>
      <c r="G162" s="3">
        <v>5.93506</v>
      </c>
      <c r="H162" s="1" t="s">
        <v>10</v>
      </c>
    </row>
    <row r="163" spans="1:8" x14ac:dyDescent="0.3">
      <c r="A163" s="1">
        <v>1997</v>
      </c>
      <c r="B163" s="1">
        <v>6</v>
      </c>
      <c r="C163" s="1">
        <v>15</v>
      </c>
      <c r="D163" s="6">
        <v>1997.452055</v>
      </c>
      <c r="E163" s="2">
        <v>1712.4</v>
      </c>
      <c r="F163" s="3">
        <v>2.0167999999999999</v>
      </c>
      <c r="G163" s="3">
        <v>8.4670400000000008</v>
      </c>
      <c r="H163" s="1" t="s">
        <v>10</v>
      </c>
    </row>
    <row r="164" spans="1:8" x14ac:dyDescent="0.3">
      <c r="A164" s="1">
        <v>1997</v>
      </c>
      <c r="B164" s="1">
        <v>7</v>
      </c>
      <c r="C164" s="1">
        <v>15</v>
      </c>
      <c r="D164" s="6">
        <v>1997.5342470000001</v>
      </c>
      <c r="E164" s="2">
        <v>1717.76</v>
      </c>
      <c r="F164" s="3">
        <v>2.1194999999999999</v>
      </c>
      <c r="G164" s="3">
        <v>9.7319300000000002</v>
      </c>
      <c r="H164" s="1" t="s">
        <v>10</v>
      </c>
    </row>
    <row r="165" spans="1:8" x14ac:dyDescent="0.3">
      <c r="A165" s="1">
        <v>1997</v>
      </c>
      <c r="B165" s="1">
        <v>8</v>
      </c>
      <c r="C165" s="1">
        <v>15</v>
      </c>
      <c r="D165" s="6">
        <v>1997.6191779999999</v>
      </c>
      <c r="E165" s="2">
        <v>1722.39</v>
      </c>
      <c r="F165" s="3">
        <v>1.8173999999999999</v>
      </c>
      <c r="G165" s="3">
        <v>7.3809800000000001</v>
      </c>
      <c r="H165" s="1" t="s">
        <v>10</v>
      </c>
    </row>
    <row r="166" spans="1:8" x14ac:dyDescent="0.3">
      <c r="A166" s="1">
        <v>1997</v>
      </c>
      <c r="B166" s="1">
        <v>9</v>
      </c>
      <c r="C166" s="1">
        <v>15</v>
      </c>
      <c r="D166" s="6">
        <v>1997.7041099999999</v>
      </c>
      <c r="E166" s="2">
        <v>1723.23</v>
      </c>
      <c r="F166" s="3">
        <v>1.7021999999999999</v>
      </c>
      <c r="G166" s="3">
        <v>2.22498</v>
      </c>
      <c r="H166" s="1" t="s">
        <v>10</v>
      </c>
    </row>
    <row r="167" spans="1:8" x14ac:dyDescent="0.3">
      <c r="A167" s="1">
        <v>1997</v>
      </c>
      <c r="B167" s="1">
        <v>10</v>
      </c>
      <c r="C167" s="1">
        <v>15</v>
      </c>
      <c r="D167" s="6">
        <v>1997.7863010000001</v>
      </c>
      <c r="E167" s="2">
        <v>1720.46</v>
      </c>
      <c r="F167" s="3">
        <v>2.1255999999999999</v>
      </c>
      <c r="G167" s="3">
        <v>0.70690900000000001</v>
      </c>
      <c r="H167" s="1" t="s">
        <v>10</v>
      </c>
    </row>
    <row r="168" spans="1:8" x14ac:dyDescent="0.3">
      <c r="A168" s="1">
        <v>1997</v>
      </c>
      <c r="B168" s="1">
        <v>11</v>
      </c>
      <c r="C168" s="1">
        <v>15</v>
      </c>
      <c r="D168" s="6">
        <v>1997.8712330000001</v>
      </c>
      <c r="E168" s="2">
        <v>1715.97</v>
      </c>
      <c r="F168" s="3">
        <v>2.1206</v>
      </c>
      <c r="G168" s="3">
        <v>4.0670200000000003</v>
      </c>
      <c r="H168" s="1" t="s">
        <v>10</v>
      </c>
    </row>
    <row r="169" spans="1:8" x14ac:dyDescent="0.3">
      <c r="A169" s="1">
        <v>1997</v>
      </c>
      <c r="B169" s="1">
        <v>12</v>
      </c>
      <c r="C169" s="1">
        <v>15</v>
      </c>
      <c r="D169" s="6">
        <v>1997.9534249999999</v>
      </c>
      <c r="E169" s="2">
        <v>1710.82</v>
      </c>
      <c r="F169" s="3">
        <v>2.3797000000000001</v>
      </c>
      <c r="G169" s="3">
        <v>5.9670399999999999</v>
      </c>
      <c r="H169" s="1" t="s">
        <v>10</v>
      </c>
    </row>
    <row r="170" spans="1:8" x14ac:dyDescent="0.3">
      <c r="A170" s="1">
        <v>1998</v>
      </c>
      <c r="B170" s="1">
        <v>1</v>
      </c>
      <c r="C170" s="1">
        <v>15</v>
      </c>
      <c r="D170" s="6">
        <v>1998.038356</v>
      </c>
      <c r="E170" s="2">
        <v>1704.42</v>
      </c>
      <c r="F170" s="3">
        <v>2.6071</v>
      </c>
      <c r="G170" s="3">
        <v>6.1660199999999996</v>
      </c>
      <c r="H170" s="1" t="s">
        <v>10</v>
      </c>
    </row>
    <row r="171" spans="1:8" x14ac:dyDescent="0.3">
      <c r="A171" s="1">
        <v>1998</v>
      </c>
      <c r="B171" s="1">
        <v>2</v>
      </c>
      <c r="C171" s="1">
        <v>15</v>
      </c>
      <c r="D171" s="6">
        <v>1998.123288</v>
      </c>
      <c r="E171" s="2">
        <v>1698.83</v>
      </c>
      <c r="F171" s="3">
        <v>1.8482000000000001</v>
      </c>
      <c r="G171" s="3">
        <v>6.6190199999999999</v>
      </c>
      <c r="H171" s="1" t="s">
        <v>10</v>
      </c>
    </row>
    <row r="172" spans="1:8" x14ac:dyDescent="0.3">
      <c r="A172" s="1">
        <v>1998</v>
      </c>
      <c r="B172" s="1">
        <v>3</v>
      </c>
      <c r="C172" s="1">
        <v>15</v>
      </c>
      <c r="D172" s="6">
        <v>1998.2</v>
      </c>
      <c r="E172" s="2">
        <v>1697.32</v>
      </c>
      <c r="F172" s="3">
        <v>2.2658</v>
      </c>
      <c r="G172" s="3">
        <v>9.3709699999999998</v>
      </c>
      <c r="H172" s="1" t="s">
        <v>10</v>
      </c>
    </row>
    <row r="173" spans="1:8" x14ac:dyDescent="0.3">
      <c r="A173" s="1">
        <v>1998</v>
      </c>
      <c r="B173" s="1">
        <v>4</v>
      </c>
      <c r="C173" s="1">
        <v>15</v>
      </c>
      <c r="D173" s="6">
        <v>1998.284932</v>
      </c>
      <c r="E173" s="2">
        <v>1700.8</v>
      </c>
      <c r="F173" s="3">
        <v>3.0228999999999999</v>
      </c>
      <c r="G173" s="3">
        <v>12.054</v>
      </c>
      <c r="H173" s="1" t="s">
        <v>10</v>
      </c>
    </row>
    <row r="174" spans="1:8" x14ac:dyDescent="0.3">
      <c r="A174" s="1">
        <v>1998</v>
      </c>
      <c r="B174" s="1">
        <v>5</v>
      </c>
      <c r="C174" s="1">
        <v>15</v>
      </c>
      <c r="D174" s="6">
        <v>1998.367123</v>
      </c>
      <c r="E174" s="2">
        <v>1709.62</v>
      </c>
      <c r="F174" s="3">
        <v>4.165</v>
      </c>
      <c r="G174" s="3">
        <v>11.9879</v>
      </c>
      <c r="H174" s="1" t="s">
        <v>10</v>
      </c>
    </row>
    <row r="175" spans="1:8" x14ac:dyDescent="0.3">
      <c r="A175" s="1">
        <v>1998</v>
      </c>
      <c r="B175" s="1">
        <v>6</v>
      </c>
      <c r="C175" s="1">
        <v>15</v>
      </c>
      <c r="D175" s="6">
        <v>1998.452055</v>
      </c>
      <c r="E175" s="2">
        <v>1718.36</v>
      </c>
      <c r="F175" s="3">
        <v>2.4188999999999998</v>
      </c>
      <c r="G175" s="3">
        <v>9.7659900000000004</v>
      </c>
      <c r="H175" s="1" t="s">
        <v>10</v>
      </c>
    </row>
    <row r="176" spans="1:8" x14ac:dyDescent="0.3">
      <c r="A176" s="1">
        <v>1998</v>
      </c>
      <c r="B176" s="1">
        <v>7</v>
      </c>
      <c r="C176" s="1">
        <v>15</v>
      </c>
      <c r="D176" s="6">
        <v>1998.5342470000001</v>
      </c>
      <c r="E176" s="2">
        <v>1723.93</v>
      </c>
      <c r="F176" s="3">
        <v>3.2084000000000001</v>
      </c>
      <c r="G176" s="3">
        <v>9.5880100000000006</v>
      </c>
      <c r="H176" s="1" t="s">
        <v>10</v>
      </c>
    </row>
    <row r="177" spans="1:8" x14ac:dyDescent="0.3">
      <c r="A177" s="1">
        <v>1998</v>
      </c>
      <c r="B177" s="1">
        <v>8</v>
      </c>
      <c r="C177" s="1">
        <v>15</v>
      </c>
      <c r="D177" s="6">
        <v>1998.6191779999999</v>
      </c>
      <c r="E177" s="2">
        <v>1729.01</v>
      </c>
      <c r="F177" s="3">
        <v>1.7361</v>
      </c>
      <c r="G177" s="3">
        <v>10.916</v>
      </c>
      <c r="H177" s="1" t="s">
        <v>10</v>
      </c>
    </row>
    <row r="178" spans="1:8" x14ac:dyDescent="0.3">
      <c r="A178" s="1">
        <v>1998</v>
      </c>
      <c r="B178" s="1">
        <v>9</v>
      </c>
      <c r="C178" s="1">
        <v>15</v>
      </c>
      <c r="D178" s="6">
        <v>1998.7041099999999</v>
      </c>
      <c r="E178" s="2">
        <v>1732.61</v>
      </c>
      <c r="F178" s="3">
        <v>1.9332</v>
      </c>
      <c r="G178" s="3">
        <v>11.904999999999999</v>
      </c>
      <c r="H178" s="1" t="s">
        <v>10</v>
      </c>
    </row>
    <row r="179" spans="1:8" x14ac:dyDescent="0.3">
      <c r="A179" s="1">
        <v>1998</v>
      </c>
      <c r="B179" s="1">
        <v>10</v>
      </c>
      <c r="C179" s="1">
        <v>15</v>
      </c>
      <c r="D179" s="6">
        <v>1998.7863010000001</v>
      </c>
      <c r="E179" s="2">
        <v>1732.51</v>
      </c>
      <c r="F179" s="3">
        <v>1.0634999999999999</v>
      </c>
      <c r="G179" s="3">
        <v>13.539099999999999</v>
      </c>
      <c r="H179" s="1" t="s">
        <v>10</v>
      </c>
    </row>
    <row r="180" spans="1:8" x14ac:dyDescent="0.3">
      <c r="A180" s="1">
        <v>1998</v>
      </c>
      <c r="B180" s="1">
        <v>11</v>
      </c>
      <c r="C180" s="1">
        <v>15</v>
      </c>
      <c r="D180" s="6">
        <v>1998.8712330000001</v>
      </c>
      <c r="E180" s="2">
        <v>1727.96</v>
      </c>
      <c r="F180" s="3">
        <v>3.4009999999999998</v>
      </c>
      <c r="G180" s="3">
        <v>12.7461</v>
      </c>
      <c r="H180" s="1" t="s">
        <v>10</v>
      </c>
    </row>
    <row r="181" spans="1:8" x14ac:dyDescent="0.3">
      <c r="A181" s="1">
        <v>1998</v>
      </c>
      <c r="B181" s="1">
        <v>12</v>
      </c>
      <c r="C181" s="1">
        <v>15</v>
      </c>
      <c r="D181" s="6">
        <v>1998.9534249999999</v>
      </c>
      <c r="E181" s="2">
        <v>1720.58</v>
      </c>
      <c r="F181" s="3">
        <v>3.0287999999999999</v>
      </c>
      <c r="G181" s="3">
        <v>11.5199</v>
      </c>
      <c r="H181" s="1" t="s">
        <v>10</v>
      </c>
    </row>
    <row r="182" spans="1:8" x14ac:dyDescent="0.3">
      <c r="A182" s="1">
        <v>1999</v>
      </c>
      <c r="B182" s="1">
        <v>1</v>
      </c>
      <c r="C182" s="1">
        <v>15</v>
      </c>
      <c r="D182" s="6">
        <v>1999.038356</v>
      </c>
      <c r="E182" s="2">
        <v>1714.01</v>
      </c>
      <c r="F182" s="3">
        <v>2.0270999999999999</v>
      </c>
      <c r="G182" s="3">
        <v>11.892899999999999</v>
      </c>
      <c r="H182" s="1" t="s">
        <v>10</v>
      </c>
    </row>
    <row r="183" spans="1:8" x14ac:dyDescent="0.3">
      <c r="A183" s="1">
        <v>1999</v>
      </c>
      <c r="B183" s="1">
        <v>2</v>
      </c>
      <c r="C183" s="1">
        <v>15</v>
      </c>
      <c r="D183" s="6">
        <v>1999.123288</v>
      </c>
      <c r="E183" s="2">
        <v>1709.74</v>
      </c>
      <c r="F183" s="3">
        <v>1.9497</v>
      </c>
      <c r="G183" s="3">
        <v>10.027100000000001</v>
      </c>
      <c r="H183" s="1" t="s">
        <v>10</v>
      </c>
    </row>
    <row r="184" spans="1:8" x14ac:dyDescent="0.3">
      <c r="A184" s="1">
        <v>1999</v>
      </c>
      <c r="B184" s="1">
        <v>3</v>
      </c>
      <c r="C184" s="1">
        <v>15</v>
      </c>
      <c r="D184" s="6">
        <v>1999.2</v>
      </c>
      <c r="E184" s="2">
        <v>1709.22</v>
      </c>
      <c r="F184" s="3">
        <v>1.9954000000000001</v>
      </c>
      <c r="G184" s="3">
        <v>8.2180199999999992</v>
      </c>
      <c r="H184" s="1" t="s">
        <v>10</v>
      </c>
    </row>
    <row r="185" spans="1:8" x14ac:dyDescent="0.3">
      <c r="A185" s="1">
        <v>1999</v>
      </c>
      <c r="B185" s="1">
        <v>4</v>
      </c>
      <c r="C185" s="1">
        <v>15</v>
      </c>
      <c r="D185" s="6">
        <v>1999.284932</v>
      </c>
      <c r="E185" s="2">
        <v>1714.34</v>
      </c>
      <c r="F185" s="3">
        <v>2.7151999999999998</v>
      </c>
      <c r="G185" s="3">
        <v>8.7659900000000004</v>
      </c>
      <c r="H185" s="1" t="s">
        <v>10</v>
      </c>
    </row>
    <row r="186" spans="1:8" x14ac:dyDescent="0.3">
      <c r="A186" s="1">
        <v>1999</v>
      </c>
      <c r="B186" s="1">
        <v>5</v>
      </c>
      <c r="C186" s="1">
        <v>15</v>
      </c>
      <c r="D186" s="6">
        <v>1999.367123</v>
      </c>
      <c r="E186" s="2">
        <v>1722.36</v>
      </c>
      <c r="F186" s="3">
        <v>3.3203999999999998</v>
      </c>
      <c r="G186" s="3">
        <v>7.7810100000000002</v>
      </c>
      <c r="H186" s="1" t="s">
        <v>10</v>
      </c>
    </row>
    <row r="187" spans="1:8" x14ac:dyDescent="0.3">
      <c r="A187" s="1">
        <v>1999</v>
      </c>
      <c r="B187" s="1">
        <v>6</v>
      </c>
      <c r="C187" s="1">
        <v>15</v>
      </c>
      <c r="D187" s="6">
        <v>1999.452055</v>
      </c>
      <c r="E187" s="2">
        <v>1729.88</v>
      </c>
      <c r="F187" s="3">
        <v>2.6989000000000001</v>
      </c>
      <c r="G187" s="3">
        <v>5.7309599999999996</v>
      </c>
      <c r="H187" s="1" t="s">
        <v>10</v>
      </c>
    </row>
    <row r="188" spans="1:8" x14ac:dyDescent="0.3">
      <c r="A188" s="1">
        <v>1999</v>
      </c>
      <c r="B188" s="1">
        <v>7</v>
      </c>
      <c r="C188" s="1">
        <v>15</v>
      </c>
      <c r="D188" s="6">
        <v>1999.5342470000001</v>
      </c>
      <c r="E188" s="2">
        <v>1735.82</v>
      </c>
      <c r="F188" s="3">
        <v>2.6263000000000001</v>
      </c>
      <c r="G188" s="3">
        <v>3.8029799999999998</v>
      </c>
      <c r="H188" s="1" t="s">
        <v>10</v>
      </c>
    </row>
    <row r="189" spans="1:8" x14ac:dyDescent="0.3">
      <c r="A189" s="1">
        <v>1999</v>
      </c>
      <c r="B189" s="1">
        <v>8</v>
      </c>
      <c r="C189" s="1">
        <v>15</v>
      </c>
      <c r="D189" s="6">
        <v>1999.6191779999999</v>
      </c>
      <c r="E189" s="2">
        <v>1739.03</v>
      </c>
      <c r="F189" s="3">
        <v>2.0956999999999999</v>
      </c>
      <c r="G189" s="3">
        <v>2.1729699999999998</v>
      </c>
      <c r="H189" s="1" t="s">
        <v>10</v>
      </c>
    </row>
    <row r="190" spans="1:8" x14ac:dyDescent="0.3">
      <c r="A190" s="1">
        <v>1999</v>
      </c>
      <c r="B190" s="1">
        <v>9</v>
      </c>
      <c r="C190" s="1">
        <v>15</v>
      </c>
      <c r="D190" s="6">
        <v>1999.7041099999999</v>
      </c>
      <c r="E190" s="2">
        <v>1740.82</v>
      </c>
      <c r="F190" s="3">
        <v>1.4313</v>
      </c>
      <c r="G190" s="3">
        <v>2.4899900000000001</v>
      </c>
      <c r="H190" s="1" t="s">
        <v>10</v>
      </c>
    </row>
    <row r="191" spans="1:8" x14ac:dyDescent="0.3">
      <c r="A191" s="1">
        <v>1999</v>
      </c>
      <c r="B191" s="1">
        <v>10</v>
      </c>
      <c r="C191" s="1">
        <v>15</v>
      </c>
      <c r="D191" s="6">
        <v>1999.7863010000001</v>
      </c>
      <c r="E191" s="2">
        <v>1741.28</v>
      </c>
      <c r="F191" s="3">
        <v>1.9241999999999999</v>
      </c>
      <c r="G191" s="3">
        <v>3.5990000000000002</v>
      </c>
      <c r="H191" s="1" t="s">
        <v>10</v>
      </c>
    </row>
    <row r="192" spans="1:8" x14ac:dyDescent="0.3">
      <c r="A192" s="1">
        <v>1999</v>
      </c>
      <c r="B192" s="1">
        <v>11</v>
      </c>
      <c r="C192" s="1">
        <v>15</v>
      </c>
      <c r="D192" s="6">
        <v>1999.8712330000001</v>
      </c>
      <c r="E192" s="2">
        <v>1735.74</v>
      </c>
      <c r="F192" s="3">
        <v>3.2014</v>
      </c>
      <c r="G192" s="3">
        <v>2.6019299999999999</v>
      </c>
      <c r="H192" s="1" t="s">
        <v>10</v>
      </c>
    </row>
    <row r="193" spans="1:8" x14ac:dyDescent="0.3">
      <c r="A193" s="1">
        <v>1999</v>
      </c>
      <c r="B193" s="1">
        <v>12</v>
      </c>
      <c r="C193" s="1">
        <v>15</v>
      </c>
      <c r="D193" s="6">
        <v>1999.9534249999999</v>
      </c>
      <c r="E193" s="2">
        <v>1726.31</v>
      </c>
      <c r="F193" s="3">
        <v>3.2605</v>
      </c>
      <c r="G193" s="3">
        <v>2.12</v>
      </c>
      <c r="H193" s="1" t="s">
        <v>10</v>
      </c>
    </row>
    <row r="194" spans="1:8" x14ac:dyDescent="0.3">
      <c r="A194" s="1">
        <v>2000</v>
      </c>
      <c r="B194" s="1">
        <v>1</v>
      </c>
      <c r="C194" s="1">
        <v>15</v>
      </c>
      <c r="D194" s="6">
        <v>2000.0382509999999</v>
      </c>
      <c r="E194" s="2">
        <v>1717.81</v>
      </c>
      <c r="F194" s="3">
        <v>2.9977</v>
      </c>
      <c r="G194" s="3">
        <v>2.1149900000000001</v>
      </c>
      <c r="H194" s="1" t="s">
        <v>10</v>
      </c>
    </row>
    <row r="195" spans="1:8" x14ac:dyDescent="0.3">
      <c r="A195" s="1">
        <v>2000</v>
      </c>
      <c r="B195" s="1">
        <v>2</v>
      </c>
      <c r="C195" s="1">
        <v>15</v>
      </c>
      <c r="D195" s="6">
        <v>2000.1229510000001</v>
      </c>
      <c r="E195" s="2">
        <v>1711.92</v>
      </c>
      <c r="F195" s="3">
        <v>1.9436</v>
      </c>
      <c r="G195" s="3">
        <v>0.82800300000000004</v>
      </c>
      <c r="H195" s="1" t="s">
        <v>10</v>
      </c>
    </row>
    <row r="196" spans="1:8" x14ac:dyDescent="0.3">
      <c r="A196" s="1">
        <v>2000</v>
      </c>
      <c r="B196" s="1">
        <v>3</v>
      </c>
      <c r="C196" s="1">
        <v>15</v>
      </c>
      <c r="D196" s="6">
        <v>2000.202186</v>
      </c>
      <c r="E196" s="2">
        <v>1711.71</v>
      </c>
      <c r="F196" s="3">
        <v>1.9412</v>
      </c>
      <c r="G196" s="3">
        <v>-0.30200199999999999</v>
      </c>
      <c r="H196" s="1" t="s">
        <v>10</v>
      </c>
    </row>
    <row r="197" spans="1:8" x14ac:dyDescent="0.3">
      <c r="A197" s="1">
        <v>2000</v>
      </c>
      <c r="B197" s="1">
        <v>4</v>
      </c>
      <c r="C197" s="1">
        <v>15</v>
      </c>
      <c r="D197" s="6">
        <v>2000.286885</v>
      </c>
      <c r="E197" s="2">
        <v>1717.94</v>
      </c>
      <c r="F197" s="3">
        <v>3.7829000000000002</v>
      </c>
      <c r="G197" s="3">
        <v>-1.01196</v>
      </c>
      <c r="H197" s="1" t="s">
        <v>10</v>
      </c>
    </row>
    <row r="198" spans="1:8" x14ac:dyDescent="0.3">
      <c r="A198" s="1">
        <v>2000</v>
      </c>
      <c r="B198" s="1">
        <v>5</v>
      </c>
      <c r="C198" s="1">
        <v>15</v>
      </c>
      <c r="D198" s="6">
        <v>2000.3688520000001</v>
      </c>
      <c r="E198" s="2">
        <v>1724.96</v>
      </c>
      <c r="F198" s="3">
        <v>3.1120000000000001</v>
      </c>
      <c r="G198" s="3">
        <v>-0.18493699999999999</v>
      </c>
      <c r="H198" s="1" t="s">
        <v>10</v>
      </c>
    </row>
    <row r="199" spans="1:8" x14ac:dyDescent="0.3">
      <c r="A199" s="1">
        <v>2000</v>
      </c>
      <c r="B199" s="1">
        <v>6</v>
      </c>
      <c r="C199" s="1">
        <v>15</v>
      </c>
      <c r="D199" s="6">
        <v>2000.4535519999999</v>
      </c>
      <c r="E199" s="2">
        <v>1732</v>
      </c>
      <c r="F199" s="3">
        <v>2.6701999999999999</v>
      </c>
      <c r="G199" s="3">
        <v>0.37207000000000001</v>
      </c>
      <c r="H199" s="1" t="s">
        <v>10</v>
      </c>
    </row>
    <row r="200" spans="1:8" x14ac:dyDescent="0.3">
      <c r="A200" s="1">
        <v>2000</v>
      </c>
      <c r="B200" s="1">
        <v>7</v>
      </c>
      <c r="C200" s="1">
        <v>15</v>
      </c>
      <c r="D200" s="6">
        <v>2000.535519</v>
      </c>
      <c r="E200" s="2">
        <v>1737.93</v>
      </c>
      <c r="F200" s="3">
        <v>2.5838999999999999</v>
      </c>
      <c r="G200" s="3">
        <v>-0.875</v>
      </c>
      <c r="H200" s="1" t="s">
        <v>10</v>
      </c>
    </row>
    <row r="201" spans="1:8" x14ac:dyDescent="0.3">
      <c r="A201" s="1">
        <v>2000</v>
      </c>
      <c r="B201" s="1">
        <v>8</v>
      </c>
      <c r="C201" s="1">
        <v>15</v>
      </c>
      <c r="D201" s="6">
        <v>2000.6202189999999</v>
      </c>
      <c r="E201" s="2">
        <v>1739.86</v>
      </c>
      <c r="F201" s="3">
        <v>1.5232000000000001</v>
      </c>
      <c r="G201" s="3">
        <v>-1.37903</v>
      </c>
      <c r="H201" s="1" t="s">
        <v>10</v>
      </c>
    </row>
    <row r="202" spans="1:8" x14ac:dyDescent="0.3">
      <c r="A202" s="1">
        <v>2000</v>
      </c>
      <c r="B202" s="1">
        <v>9</v>
      </c>
      <c r="C202" s="1">
        <v>15</v>
      </c>
      <c r="D202" s="6">
        <v>2000.7049179999999</v>
      </c>
      <c r="E202" s="2">
        <v>1740.52</v>
      </c>
      <c r="F202" s="3">
        <v>1.7538</v>
      </c>
      <c r="G202" s="3">
        <v>-1.17798</v>
      </c>
      <c r="H202" s="1" t="s">
        <v>10</v>
      </c>
    </row>
    <row r="203" spans="1:8" x14ac:dyDescent="0.3">
      <c r="A203" s="1">
        <v>2000</v>
      </c>
      <c r="B203" s="1">
        <v>10</v>
      </c>
      <c r="C203" s="1">
        <v>15</v>
      </c>
      <c r="D203" s="6">
        <v>2000.786885</v>
      </c>
      <c r="E203" s="2">
        <v>1740.27</v>
      </c>
      <c r="F203" s="3">
        <v>1.6711</v>
      </c>
      <c r="G203" s="3">
        <v>-2.5510299999999999</v>
      </c>
      <c r="H203" s="1" t="s">
        <v>10</v>
      </c>
    </row>
    <row r="204" spans="1:8" x14ac:dyDescent="0.3">
      <c r="A204" s="1">
        <v>2000</v>
      </c>
      <c r="B204" s="1">
        <v>11</v>
      </c>
      <c r="C204" s="1">
        <v>15</v>
      </c>
      <c r="D204" s="6">
        <v>2000.8715850000001</v>
      </c>
      <c r="E204" s="2">
        <v>1735.56</v>
      </c>
      <c r="F204" s="3">
        <v>3.8980999999999999</v>
      </c>
      <c r="G204" s="3">
        <v>-1.8010299999999999</v>
      </c>
      <c r="H204" s="1" t="s">
        <v>10</v>
      </c>
    </row>
    <row r="205" spans="1:8" x14ac:dyDescent="0.3">
      <c r="A205" s="1">
        <v>2000</v>
      </c>
      <c r="B205" s="1">
        <v>12</v>
      </c>
      <c r="C205" s="1">
        <v>15</v>
      </c>
      <c r="D205" s="6">
        <v>2000.9535519999999</v>
      </c>
      <c r="E205" s="2">
        <v>1726.69</v>
      </c>
      <c r="F205" s="3">
        <v>3.6648999999999998</v>
      </c>
      <c r="G205" s="3">
        <v>-0.79589799999999999</v>
      </c>
      <c r="H205" s="1" t="s">
        <v>10</v>
      </c>
    </row>
    <row r="206" spans="1:8" x14ac:dyDescent="0.3">
      <c r="A206" s="1">
        <v>2001</v>
      </c>
      <c r="B206" s="1">
        <v>1</v>
      </c>
      <c r="C206" s="1">
        <v>15</v>
      </c>
      <c r="D206" s="6">
        <v>2001.038356</v>
      </c>
      <c r="E206" s="2">
        <v>1716.93</v>
      </c>
      <c r="F206" s="3">
        <v>2.968</v>
      </c>
      <c r="G206" s="3">
        <v>-0.77990700000000002</v>
      </c>
      <c r="H206" s="1" t="s">
        <v>10</v>
      </c>
    </row>
    <row r="207" spans="1:8" x14ac:dyDescent="0.3">
      <c r="A207" s="1">
        <v>2001</v>
      </c>
      <c r="B207" s="1">
        <v>2</v>
      </c>
      <c r="C207" s="1">
        <v>15</v>
      </c>
      <c r="D207" s="6">
        <v>2001.123288</v>
      </c>
      <c r="E207" s="2">
        <v>1710.54</v>
      </c>
      <c r="F207" s="3">
        <v>1.4730000000000001</v>
      </c>
      <c r="G207" s="3">
        <v>0.39392100000000002</v>
      </c>
      <c r="H207" s="1" t="s">
        <v>10</v>
      </c>
    </row>
    <row r="208" spans="1:8" x14ac:dyDescent="0.3">
      <c r="A208" s="1">
        <v>2001</v>
      </c>
      <c r="B208" s="1">
        <v>3</v>
      </c>
      <c r="C208" s="1">
        <v>15</v>
      </c>
      <c r="D208" s="6">
        <v>2001.2</v>
      </c>
      <c r="E208" s="2">
        <v>1710.53</v>
      </c>
      <c r="F208" s="3">
        <v>1.9888999999999999</v>
      </c>
      <c r="G208" s="3">
        <v>0.82800300000000004</v>
      </c>
      <c r="H208" s="1" t="s">
        <v>10</v>
      </c>
    </row>
    <row r="209" spans="1:8" x14ac:dyDescent="0.3">
      <c r="A209" s="1">
        <v>2001</v>
      </c>
      <c r="B209" s="1">
        <v>4</v>
      </c>
      <c r="C209" s="1">
        <v>15</v>
      </c>
      <c r="D209" s="6">
        <v>2001.284932</v>
      </c>
      <c r="E209" s="2">
        <v>1715.39</v>
      </c>
      <c r="F209" s="3">
        <v>2.3117999999999999</v>
      </c>
      <c r="G209" s="3">
        <v>-1.38</v>
      </c>
      <c r="H209" s="1" t="s">
        <v>10</v>
      </c>
    </row>
    <row r="210" spans="1:8" x14ac:dyDescent="0.3">
      <c r="A210" s="1">
        <v>2001</v>
      </c>
      <c r="B210" s="1">
        <v>5</v>
      </c>
      <c r="C210" s="1">
        <v>15</v>
      </c>
      <c r="D210" s="6">
        <v>2001.367123</v>
      </c>
      <c r="E210" s="2">
        <v>1723.16</v>
      </c>
      <c r="F210" s="3">
        <v>2.6227</v>
      </c>
      <c r="G210" s="3">
        <v>-3.52502</v>
      </c>
      <c r="H210" s="1" t="s">
        <v>10</v>
      </c>
    </row>
    <row r="211" spans="1:8" x14ac:dyDescent="0.3">
      <c r="A211" s="1">
        <v>2001</v>
      </c>
      <c r="B211" s="1">
        <v>6</v>
      </c>
      <c r="C211" s="1">
        <v>15</v>
      </c>
      <c r="D211" s="6">
        <v>2001.452055</v>
      </c>
      <c r="E211" s="2">
        <v>1731.21</v>
      </c>
      <c r="F211" s="3">
        <v>3.2065000000000001</v>
      </c>
      <c r="G211" s="3">
        <v>-2.82104</v>
      </c>
      <c r="H211" s="1" t="s">
        <v>10</v>
      </c>
    </row>
    <row r="212" spans="1:8" x14ac:dyDescent="0.3">
      <c r="A212" s="1">
        <v>2001</v>
      </c>
      <c r="B212" s="1">
        <v>7</v>
      </c>
      <c r="C212" s="1">
        <v>15</v>
      </c>
      <c r="D212" s="6">
        <v>2001.5342470000001</v>
      </c>
      <c r="E212" s="2">
        <v>1737.15</v>
      </c>
      <c r="F212" s="3">
        <v>1.7193000000000001</v>
      </c>
      <c r="G212" s="3">
        <v>-1.52295</v>
      </c>
      <c r="H212" s="1" t="s">
        <v>10</v>
      </c>
    </row>
    <row r="213" spans="1:8" x14ac:dyDescent="0.3">
      <c r="A213" s="1">
        <v>2001</v>
      </c>
      <c r="B213" s="1">
        <v>8</v>
      </c>
      <c r="C213" s="1">
        <v>15</v>
      </c>
      <c r="D213" s="6">
        <v>2001.6191779999999</v>
      </c>
      <c r="E213" s="2">
        <v>1740.26</v>
      </c>
      <c r="F213" s="3">
        <v>1.8012999999999999</v>
      </c>
      <c r="G213" s="3">
        <v>0.55603000000000002</v>
      </c>
      <c r="H213" s="1" t="s">
        <v>10</v>
      </c>
    </row>
    <row r="214" spans="1:8" x14ac:dyDescent="0.3">
      <c r="A214" s="1">
        <v>2001</v>
      </c>
      <c r="B214" s="1">
        <v>9</v>
      </c>
      <c r="C214" s="1">
        <v>15</v>
      </c>
      <c r="D214" s="6">
        <v>2001.7041099999999</v>
      </c>
      <c r="E214" s="2">
        <v>1741.35</v>
      </c>
      <c r="F214" s="3">
        <v>1.6915</v>
      </c>
      <c r="G214" s="3">
        <v>1.6409899999999999</v>
      </c>
      <c r="H214" s="1" t="s">
        <v>10</v>
      </c>
    </row>
    <row r="215" spans="1:8" x14ac:dyDescent="0.3">
      <c r="A215" s="1">
        <v>2001</v>
      </c>
      <c r="B215" s="1">
        <v>10</v>
      </c>
      <c r="C215" s="1">
        <v>15</v>
      </c>
      <c r="D215" s="6">
        <v>2001.7863010000001</v>
      </c>
      <c r="E215" s="2">
        <v>1738.89</v>
      </c>
      <c r="F215" s="3">
        <v>2.2833000000000001</v>
      </c>
      <c r="G215" s="3">
        <v>1.85205</v>
      </c>
      <c r="H215" s="1" t="s">
        <v>10</v>
      </c>
    </row>
    <row r="216" spans="1:8" x14ac:dyDescent="0.3">
      <c r="A216" s="1">
        <v>2001</v>
      </c>
      <c r="B216" s="1">
        <v>11</v>
      </c>
      <c r="C216" s="1">
        <v>15</v>
      </c>
      <c r="D216" s="6">
        <v>2001.8712330000001</v>
      </c>
      <c r="E216" s="2">
        <v>1732.03</v>
      </c>
      <c r="F216" s="3">
        <v>3.6318999999999999</v>
      </c>
      <c r="G216" s="3">
        <v>1.6409899999999999</v>
      </c>
      <c r="H216" s="1" t="s">
        <v>10</v>
      </c>
    </row>
    <row r="217" spans="1:8" x14ac:dyDescent="0.3">
      <c r="A217" s="1">
        <v>2001</v>
      </c>
      <c r="B217" s="1">
        <v>12</v>
      </c>
      <c r="C217" s="1">
        <v>15</v>
      </c>
      <c r="D217" s="6">
        <v>2001.9534249999999</v>
      </c>
      <c r="E217" s="2">
        <v>1723.87</v>
      </c>
      <c r="F217" s="3">
        <v>3.8959999999999999</v>
      </c>
      <c r="G217" s="3">
        <v>1.3289800000000001</v>
      </c>
      <c r="H217" s="1" t="s">
        <v>10</v>
      </c>
    </row>
    <row r="218" spans="1:8" x14ac:dyDescent="0.3">
      <c r="A218" s="1">
        <v>2002</v>
      </c>
      <c r="B218" s="1">
        <v>1</v>
      </c>
      <c r="C218" s="1">
        <v>15</v>
      </c>
      <c r="D218" s="6">
        <v>2002.038356</v>
      </c>
      <c r="E218" s="2">
        <v>1715.41</v>
      </c>
      <c r="F218" s="3">
        <v>2.3506</v>
      </c>
      <c r="G218" s="3">
        <v>1.41699</v>
      </c>
      <c r="H218" s="1" t="s">
        <v>10</v>
      </c>
    </row>
    <row r="219" spans="1:8" x14ac:dyDescent="0.3">
      <c r="A219" s="1">
        <v>2002</v>
      </c>
      <c r="B219" s="1">
        <v>2</v>
      </c>
      <c r="C219" s="1">
        <v>15</v>
      </c>
      <c r="D219" s="6">
        <v>2002.123288</v>
      </c>
      <c r="E219" s="2">
        <v>1711.09</v>
      </c>
      <c r="F219" s="3">
        <v>1.0539000000000001</v>
      </c>
      <c r="G219" s="3">
        <v>1.5130600000000001</v>
      </c>
      <c r="H219" s="1" t="s">
        <v>10</v>
      </c>
    </row>
    <row r="220" spans="1:8" x14ac:dyDescent="0.3">
      <c r="A220" s="1">
        <v>2002</v>
      </c>
      <c r="B220" s="1">
        <v>3</v>
      </c>
      <c r="C220" s="1">
        <v>15</v>
      </c>
      <c r="D220" s="6">
        <v>2002.2</v>
      </c>
      <c r="E220" s="2">
        <v>1712.18</v>
      </c>
      <c r="F220" s="3">
        <v>2.5798999999999999</v>
      </c>
      <c r="G220" s="3">
        <v>1.35608</v>
      </c>
      <c r="H220" s="1" t="s">
        <v>10</v>
      </c>
    </row>
    <row r="221" spans="1:8" x14ac:dyDescent="0.3">
      <c r="A221" s="1">
        <v>2002</v>
      </c>
      <c r="B221" s="1">
        <v>4</v>
      </c>
      <c r="C221" s="1">
        <v>15</v>
      </c>
      <c r="D221" s="6">
        <v>2002.284932</v>
      </c>
      <c r="E221" s="2">
        <v>1717.24</v>
      </c>
      <c r="F221" s="3">
        <v>2.0680000000000001</v>
      </c>
      <c r="G221" s="3">
        <v>2.8389899999999999</v>
      </c>
      <c r="H221" s="1" t="s">
        <v>10</v>
      </c>
    </row>
    <row r="222" spans="1:8" x14ac:dyDescent="0.3">
      <c r="A222" s="1">
        <v>2002</v>
      </c>
      <c r="B222" s="1">
        <v>5</v>
      </c>
      <c r="C222" s="1">
        <v>15</v>
      </c>
      <c r="D222" s="6">
        <v>2002.367123</v>
      </c>
      <c r="E222" s="2">
        <v>1724.8</v>
      </c>
      <c r="F222" s="3">
        <v>2.8664999999999998</v>
      </c>
      <c r="G222" s="3">
        <v>5.1469699999999996</v>
      </c>
      <c r="H222" s="1" t="s">
        <v>10</v>
      </c>
    </row>
    <row r="223" spans="1:8" x14ac:dyDescent="0.3">
      <c r="A223" s="1">
        <v>2002</v>
      </c>
      <c r="B223" s="1">
        <v>6</v>
      </c>
      <c r="C223" s="1">
        <v>15</v>
      </c>
      <c r="D223" s="6">
        <v>2002.452055</v>
      </c>
      <c r="E223" s="2">
        <v>1732.54</v>
      </c>
      <c r="F223" s="3">
        <v>2.9681999999999999</v>
      </c>
      <c r="G223" s="3">
        <v>4.6390399999999996</v>
      </c>
      <c r="H223" s="1" t="s">
        <v>10</v>
      </c>
    </row>
    <row r="224" spans="1:8" x14ac:dyDescent="0.3">
      <c r="A224" s="1">
        <v>2002</v>
      </c>
      <c r="B224" s="1">
        <v>7</v>
      </c>
      <c r="C224" s="1">
        <v>15</v>
      </c>
      <c r="D224" s="6">
        <v>2002.5342470000001</v>
      </c>
      <c r="E224" s="2">
        <v>1738.57</v>
      </c>
      <c r="F224" s="3">
        <v>2.0141</v>
      </c>
      <c r="G224" s="3">
        <v>3.58704</v>
      </c>
      <c r="H224" s="1" t="s">
        <v>10</v>
      </c>
    </row>
    <row r="225" spans="1:8" x14ac:dyDescent="0.3">
      <c r="A225" s="1">
        <v>2002</v>
      </c>
      <c r="B225" s="1">
        <v>8</v>
      </c>
      <c r="C225" s="1">
        <v>15</v>
      </c>
      <c r="D225" s="6">
        <v>2002.6191779999999</v>
      </c>
      <c r="E225" s="2">
        <v>1741.77</v>
      </c>
      <c r="F225" s="3">
        <v>2.1438000000000001</v>
      </c>
      <c r="G225" s="3">
        <v>1.78101</v>
      </c>
      <c r="H225" s="1" t="s">
        <v>10</v>
      </c>
    </row>
    <row r="226" spans="1:8" x14ac:dyDescent="0.3">
      <c r="A226" s="1">
        <v>2002</v>
      </c>
      <c r="B226" s="1">
        <v>9</v>
      </c>
      <c r="C226" s="1">
        <v>15</v>
      </c>
      <c r="D226" s="6">
        <v>2002.7041099999999</v>
      </c>
      <c r="E226" s="2">
        <v>1742.71</v>
      </c>
      <c r="F226" s="3">
        <v>0.76859999999999995</v>
      </c>
      <c r="G226" s="3">
        <v>0.14392099999999999</v>
      </c>
      <c r="H226" s="1" t="s">
        <v>10</v>
      </c>
    </row>
    <row r="227" spans="1:8" x14ac:dyDescent="0.3">
      <c r="A227" s="1">
        <v>2002</v>
      </c>
      <c r="B227" s="1">
        <v>10</v>
      </c>
      <c r="C227" s="1">
        <v>15</v>
      </c>
      <c r="D227" s="6">
        <v>2002.7863010000001</v>
      </c>
      <c r="E227" s="2">
        <v>1741.72</v>
      </c>
      <c r="F227" s="3">
        <v>1.7379</v>
      </c>
      <c r="G227" s="3">
        <v>1.16296</v>
      </c>
      <c r="H227" s="1" t="s">
        <v>10</v>
      </c>
    </row>
    <row r="228" spans="1:8" x14ac:dyDescent="0.3">
      <c r="A228" s="1">
        <v>2002</v>
      </c>
      <c r="B228" s="1">
        <v>11</v>
      </c>
      <c r="C228" s="1">
        <v>15</v>
      </c>
      <c r="D228" s="6">
        <v>2002.8712330000001</v>
      </c>
      <c r="E228" s="2">
        <v>1737.18</v>
      </c>
      <c r="F228" s="3">
        <v>2.3687</v>
      </c>
      <c r="G228" s="3">
        <v>1.875</v>
      </c>
      <c r="H228" s="1" t="s">
        <v>10</v>
      </c>
    </row>
    <row r="229" spans="1:8" x14ac:dyDescent="0.3">
      <c r="A229" s="1">
        <v>2002</v>
      </c>
      <c r="B229" s="1">
        <v>12</v>
      </c>
      <c r="C229" s="1">
        <v>15</v>
      </c>
      <c r="D229" s="6">
        <v>2002.9534249999999</v>
      </c>
      <c r="E229" s="2">
        <v>1728.51</v>
      </c>
      <c r="F229" s="3">
        <v>3.3816000000000002</v>
      </c>
      <c r="G229" s="3">
        <v>-0.13305700000000001</v>
      </c>
      <c r="H229" s="1" t="s">
        <v>10</v>
      </c>
    </row>
    <row r="230" spans="1:8" x14ac:dyDescent="0.3">
      <c r="A230" s="1">
        <v>2003</v>
      </c>
      <c r="B230" s="1">
        <v>1</v>
      </c>
      <c r="C230" s="1">
        <v>15</v>
      </c>
      <c r="D230" s="6">
        <v>2003.038356</v>
      </c>
      <c r="E230" s="2">
        <v>1719</v>
      </c>
      <c r="F230" s="3">
        <v>2.6817000000000002</v>
      </c>
      <c r="G230" s="3">
        <v>-1.4950000000000001</v>
      </c>
      <c r="H230" s="1" t="s">
        <v>10</v>
      </c>
    </row>
    <row r="231" spans="1:8" x14ac:dyDescent="0.3">
      <c r="A231" s="1">
        <v>2003</v>
      </c>
      <c r="B231" s="1">
        <v>2</v>
      </c>
      <c r="C231" s="1">
        <v>15</v>
      </c>
      <c r="D231" s="6">
        <v>2003.123288</v>
      </c>
      <c r="E231" s="2">
        <v>1712.87</v>
      </c>
      <c r="F231" s="3">
        <v>1.6563000000000001</v>
      </c>
      <c r="G231" s="3">
        <v>6.2011700000000003E-2</v>
      </c>
      <c r="H231" s="1" t="s">
        <v>10</v>
      </c>
    </row>
    <row r="232" spans="1:8" x14ac:dyDescent="0.3">
      <c r="A232" s="1">
        <v>2003</v>
      </c>
      <c r="B232" s="1">
        <v>3</v>
      </c>
      <c r="C232" s="1">
        <v>15</v>
      </c>
      <c r="D232" s="6">
        <v>2003.2</v>
      </c>
      <c r="E232" s="2">
        <v>1712.32</v>
      </c>
      <c r="F232" s="3">
        <v>1.8825000000000001</v>
      </c>
      <c r="G232" s="3">
        <v>1.7529300000000001</v>
      </c>
      <c r="H232" s="1" t="s">
        <v>10</v>
      </c>
    </row>
    <row r="233" spans="1:8" x14ac:dyDescent="0.3">
      <c r="A233" s="1">
        <v>2003</v>
      </c>
      <c r="B233" s="1">
        <v>4</v>
      </c>
      <c r="C233" s="1">
        <v>15</v>
      </c>
      <c r="D233" s="6">
        <v>2003.284932</v>
      </c>
      <c r="E233" s="2">
        <v>1718.41</v>
      </c>
      <c r="F233" s="3">
        <v>2.6796000000000002</v>
      </c>
      <c r="G233" s="3">
        <v>0.57299800000000001</v>
      </c>
      <c r="H233" s="1" t="s">
        <v>10</v>
      </c>
    </row>
    <row r="234" spans="1:8" x14ac:dyDescent="0.3">
      <c r="A234" s="1">
        <v>2003</v>
      </c>
      <c r="B234" s="1">
        <v>5</v>
      </c>
      <c r="C234" s="1">
        <v>15</v>
      </c>
      <c r="D234" s="6">
        <v>2003.367123</v>
      </c>
      <c r="E234" s="2">
        <v>1726.68</v>
      </c>
      <c r="F234" s="3">
        <v>2.5529000000000002</v>
      </c>
      <c r="G234" s="3">
        <v>-1.2039800000000001</v>
      </c>
      <c r="H234" s="1" t="s">
        <v>10</v>
      </c>
    </row>
    <row r="235" spans="1:8" x14ac:dyDescent="0.3">
      <c r="A235" s="1">
        <v>2003</v>
      </c>
      <c r="B235" s="1">
        <v>6</v>
      </c>
      <c r="C235" s="1">
        <v>15</v>
      </c>
      <c r="D235" s="6">
        <v>2003.452055</v>
      </c>
      <c r="E235" s="2">
        <v>1732.4</v>
      </c>
      <c r="F235" s="3">
        <v>2.9687999999999999</v>
      </c>
      <c r="G235" s="3">
        <v>0.74597199999999997</v>
      </c>
      <c r="H235" s="1" t="s">
        <v>10</v>
      </c>
    </row>
    <row r="236" spans="1:8" x14ac:dyDescent="0.3">
      <c r="A236" s="1">
        <v>2003</v>
      </c>
      <c r="B236" s="1">
        <v>7</v>
      </c>
      <c r="C236" s="1">
        <v>15</v>
      </c>
      <c r="D236" s="6">
        <v>2003.5342470000001</v>
      </c>
      <c r="E236" s="2">
        <v>1737.08</v>
      </c>
      <c r="F236" s="3">
        <v>1.7899</v>
      </c>
      <c r="G236" s="3">
        <v>2.0069599999999999</v>
      </c>
      <c r="H236" s="1" t="s">
        <v>10</v>
      </c>
    </row>
    <row r="237" spans="1:8" x14ac:dyDescent="0.3">
      <c r="A237" s="1">
        <v>2003</v>
      </c>
      <c r="B237" s="1">
        <v>8</v>
      </c>
      <c r="C237" s="1">
        <v>15</v>
      </c>
      <c r="D237" s="6">
        <v>2003.6191779999999</v>
      </c>
      <c r="E237" s="2">
        <v>1741.83</v>
      </c>
      <c r="F237" s="3">
        <v>1.5734999999999999</v>
      </c>
      <c r="G237" s="3">
        <v>0.401978</v>
      </c>
      <c r="H237" s="1" t="s">
        <v>10</v>
      </c>
    </row>
    <row r="238" spans="1:8" x14ac:dyDescent="0.3">
      <c r="A238" s="1">
        <v>2003</v>
      </c>
      <c r="B238" s="1">
        <v>9</v>
      </c>
      <c r="C238" s="1">
        <v>15</v>
      </c>
      <c r="D238" s="6">
        <v>2003.7041099999999</v>
      </c>
      <c r="E238" s="2">
        <v>1744.46</v>
      </c>
      <c r="F238" s="3">
        <v>1.6580999999999999</v>
      </c>
      <c r="G238" s="3">
        <v>-1.4069799999999999</v>
      </c>
      <c r="H238" s="1" t="s">
        <v>10</v>
      </c>
    </row>
    <row r="239" spans="1:8" x14ac:dyDescent="0.3">
      <c r="A239" s="1">
        <v>2003</v>
      </c>
      <c r="B239" s="1">
        <v>10</v>
      </c>
      <c r="C239" s="1">
        <v>15</v>
      </c>
      <c r="D239" s="6">
        <v>2003.7863010000001</v>
      </c>
      <c r="E239" s="2">
        <v>1742.3</v>
      </c>
      <c r="F239" s="3">
        <v>2.1017000000000001</v>
      </c>
      <c r="G239" s="3">
        <v>-2.00305</v>
      </c>
      <c r="H239" s="1" t="s">
        <v>10</v>
      </c>
    </row>
    <row r="240" spans="1:8" x14ac:dyDescent="0.3">
      <c r="A240" s="1">
        <v>2003</v>
      </c>
      <c r="B240" s="1">
        <v>11</v>
      </c>
      <c r="C240" s="1">
        <v>15</v>
      </c>
      <c r="D240" s="6">
        <v>2003.8712330000001</v>
      </c>
      <c r="E240" s="2">
        <v>1735.97</v>
      </c>
      <c r="F240" s="3">
        <v>2.9477000000000002</v>
      </c>
      <c r="G240" s="3">
        <v>-1.5709200000000001</v>
      </c>
      <c r="H240" s="1" t="s">
        <v>10</v>
      </c>
    </row>
    <row r="241" spans="1:8" x14ac:dyDescent="0.3">
      <c r="A241" s="1">
        <v>2003</v>
      </c>
      <c r="B241" s="1">
        <v>12</v>
      </c>
      <c r="C241" s="1">
        <v>15</v>
      </c>
      <c r="D241" s="6">
        <v>2003.9534249999999</v>
      </c>
      <c r="E241" s="2">
        <v>1729.25</v>
      </c>
      <c r="F241" s="3">
        <v>3.0476000000000001</v>
      </c>
      <c r="G241" s="3">
        <v>-0.74792499999999995</v>
      </c>
      <c r="H241" s="1" t="s">
        <v>10</v>
      </c>
    </row>
    <row r="242" spans="1:8" x14ac:dyDescent="0.3">
      <c r="A242" s="1">
        <v>2004</v>
      </c>
      <c r="B242" s="1">
        <v>1</v>
      </c>
      <c r="C242" s="1">
        <v>15</v>
      </c>
      <c r="D242" s="6">
        <v>2004.0382509999999</v>
      </c>
      <c r="E242" s="2">
        <v>1721.01</v>
      </c>
      <c r="F242" s="3">
        <v>2.7770000000000001</v>
      </c>
      <c r="G242" s="3">
        <v>1.2290000000000001</v>
      </c>
      <c r="H242" s="1" t="s">
        <v>10</v>
      </c>
    </row>
    <row r="243" spans="1:8" x14ac:dyDescent="0.3">
      <c r="A243" s="1">
        <v>2004</v>
      </c>
      <c r="B243" s="1">
        <v>2</v>
      </c>
      <c r="C243" s="1">
        <v>15</v>
      </c>
      <c r="D243" s="6">
        <v>2004.1229510000001</v>
      </c>
      <c r="E243" s="2">
        <v>1713.28</v>
      </c>
      <c r="F243" s="3">
        <v>2.2667000000000002</v>
      </c>
      <c r="G243" s="3">
        <v>1.2099599999999999</v>
      </c>
      <c r="H243" s="1" t="s">
        <v>10</v>
      </c>
    </row>
    <row r="244" spans="1:8" x14ac:dyDescent="0.3">
      <c r="A244" s="1">
        <v>2004</v>
      </c>
      <c r="B244" s="1">
        <v>3</v>
      </c>
      <c r="C244" s="1">
        <v>15</v>
      </c>
      <c r="D244" s="6">
        <v>2004.202186</v>
      </c>
      <c r="E244" s="2">
        <v>1710.91</v>
      </c>
      <c r="F244" s="3">
        <v>2.7698</v>
      </c>
      <c r="G244" s="3">
        <v>-1.31396</v>
      </c>
      <c r="H244" s="1" t="s">
        <v>10</v>
      </c>
    </row>
    <row r="245" spans="1:8" x14ac:dyDescent="0.3">
      <c r="A245" s="1">
        <v>2004</v>
      </c>
      <c r="B245" s="1">
        <v>4</v>
      </c>
      <c r="C245" s="1">
        <v>15</v>
      </c>
      <c r="D245" s="6">
        <v>2004.286885</v>
      </c>
      <c r="E245" s="2">
        <v>1716.4</v>
      </c>
      <c r="F245" s="3">
        <v>3.3557999999999999</v>
      </c>
      <c r="G245" s="3">
        <v>-1.2700199999999999</v>
      </c>
      <c r="H245" s="1" t="s">
        <v>10</v>
      </c>
    </row>
    <row r="246" spans="1:8" x14ac:dyDescent="0.3">
      <c r="A246" s="1">
        <v>2004</v>
      </c>
      <c r="B246" s="1">
        <v>5</v>
      </c>
      <c r="C246" s="1">
        <v>15</v>
      </c>
      <c r="D246" s="6">
        <v>2004.3688520000001</v>
      </c>
      <c r="E246" s="2">
        <v>1725.11</v>
      </c>
      <c r="F246" s="3">
        <v>2.9872000000000001</v>
      </c>
      <c r="G246" s="3">
        <v>-1.1839599999999999</v>
      </c>
      <c r="H246" s="1" t="s">
        <v>10</v>
      </c>
    </row>
    <row r="247" spans="1:8" x14ac:dyDescent="0.3">
      <c r="A247" s="1">
        <v>2004</v>
      </c>
      <c r="B247" s="1">
        <v>6</v>
      </c>
      <c r="C247" s="1">
        <v>15</v>
      </c>
      <c r="D247" s="6">
        <v>2004.4535519999999</v>
      </c>
      <c r="E247" s="2">
        <v>1731.65</v>
      </c>
      <c r="F247" s="3">
        <v>2.8403</v>
      </c>
      <c r="G247" s="3">
        <v>-3.2029999999999998</v>
      </c>
      <c r="H247" s="1" t="s">
        <v>10</v>
      </c>
    </row>
    <row r="248" spans="1:8" x14ac:dyDescent="0.3">
      <c r="A248" s="1">
        <v>2004</v>
      </c>
      <c r="B248" s="1">
        <v>7</v>
      </c>
      <c r="C248" s="1">
        <v>15</v>
      </c>
      <c r="D248" s="6">
        <v>2004.535519</v>
      </c>
      <c r="E248" s="2">
        <v>1738.31</v>
      </c>
      <c r="F248" s="3">
        <v>2.7646999999999999</v>
      </c>
      <c r="G248" s="3">
        <v>-3.5880100000000001</v>
      </c>
      <c r="H248" s="1" t="s">
        <v>10</v>
      </c>
    </row>
    <row r="249" spans="1:8" x14ac:dyDescent="0.3">
      <c r="A249" s="1">
        <v>2004</v>
      </c>
      <c r="B249" s="1">
        <v>8</v>
      </c>
      <c r="C249" s="1">
        <v>15</v>
      </c>
      <c r="D249" s="6">
        <v>2004.6202189999999</v>
      </c>
      <c r="E249" s="2">
        <v>1743.04</v>
      </c>
      <c r="F249" s="3">
        <v>2.0579999999999998</v>
      </c>
      <c r="G249" s="3">
        <v>-1.81995</v>
      </c>
      <c r="H249" s="1" t="s">
        <v>10</v>
      </c>
    </row>
    <row r="250" spans="1:8" x14ac:dyDescent="0.3">
      <c r="A250" s="1">
        <v>2004</v>
      </c>
      <c r="B250" s="1">
        <v>9</v>
      </c>
      <c r="C250" s="1">
        <v>15</v>
      </c>
      <c r="D250" s="6">
        <v>2004.7049179999999</v>
      </c>
      <c r="E250" s="2">
        <v>1743.15</v>
      </c>
      <c r="F250" s="3">
        <v>1.9193</v>
      </c>
      <c r="G250" s="3">
        <v>0.654053</v>
      </c>
      <c r="H250" s="1" t="s">
        <v>10</v>
      </c>
    </row>
    <row r="251" spans="1:8" x14ac:dyDescent="0.3">
      <c r="A251" s="1">
        <v>2004</v>
      </c>
      <c r="B251" s="1">
        <v>10</v>
      </c>
      <c r="C251" s="1">
        <v>15</v>
      </c>
      <c r="D251" s="6">
        <v>2004.786885</v>
      </c>
      <c r="E251" s="2">
        <v>1741.03</v>
      </c>
      <c r="F251" s="3">
        <v>1.8761000000000001</v>
      </c>
      <c r="G251" s="3">
        <v>0.77710000000000001</v>
      </c>
      <c r="H251" s="1" t="s">
        <v>10</v>
      </c>
    </row>
    <row r="252" spans="1:8" x14ac:dyDescent="0.3">
      <c r="A252" s="1">
        <v>2004</v>
      </c>
      <c r="B252" s="1">
        <v>11</v>
      </c>
      <c r="C252" s="1">
        <v>15</v>
      </c>
      <c r="D252" s="6">
        <v>2004.8715850000001</v>
      </c>
      <c r="E252" s="2">
        <v>1734.79</v>
      </c>
      <c r="F252" s="3">
        <v>2.851</v>
      </c>
      <c r="G252" s="3">
        <v>0.25598100000000001</v>
      </c>
      <c r="H252" s="1" t="s">
        <v>10</v>
      </c>
    </row>
    <row r="253" spans="1:8" x14ac:dyDescent="0.3">
      <c r="A253" s="1">
        <v>2004</v>
      </c>
      <c r="B253" s="1">
        <v>12</v>
      </c>
      <c r="C253" s="1">
        <v>15</v>
      </c>
      <c r="D253" s="6">
        <v>2004.9535519999999</v>
      </c>
      <c r="E253" s="2">
        <v>1726.05</v>
      </c>
      <c r="F253" s="3">
        <v>3.8130999999999999</v>
      </c>
      <c r="G253" s="3">
        <v>-0.712036</v>
      </c>
      <c r="H253" s="1" t="s">
        <v>10</v>
      </c>
    </row>
    <row r="254" spans="1:8" x14ac:dyDescent="0.3">
      <c r="A254" s="1">
        <v>2005</v>
      </c>
      <c r="B254" s="1">
        <v>1</v>
      </c>
      <c r="C254" s="1">
        <v>15</v>
      </c>
      <c r="D254" s="6">
        <v>2005.038356</v>
      </c>
      <c r="E254" s="2">
        <v>1717.42</v>
      </c>
      <c r="F254" s="3">
        <v>2.8567999999999998</v>
      </c>
      <c r="G254" s="3">
        <v>-3.20703</v>
      </c>
      <c r="H254" s="1" t="s">
        <v>10</v>
      </c>
    </row>
    <row r="255" spans="1:8" x14ac:dyDescent="0.3">
      <c r="A255" s="1">
        <v>2005</v>
      </c>
      <c r="B255" s="1">
        <v>2</v>
      </c>
      <c r="C255" s="1">
        <v>15</v>
      </c>
      <c r="D255" s="6">
        <v>2005.123288</v>
      </c>
      <c r="E255" s="2">
        <v>1711.46</v>
      </c>
      <c r="F255" s="3">
        <v>1.9168000000000001</v>
      </c>
      <c r="G255" s="3">
        <v>-2.6989700000000001</v>
      </c>
      <c r="H255" s="1" t="s">
        <v>10</v>
      </c>
    </row>
    <row r="256" spans="1:8" x14ac:dyDescent="0.3">
      <c r="A256" s="1">
        <v>2005</v>
      </c>
      <c r="B256" s="1">
        <v>3</v>
      </c>
      <c r="C256" s="1">
        <v>15</v>
      </c>
      <c r="D256" s="6">
        <v>2005.2</v>
      </c>
      <c r="E256" s="2">
        <v>1711.57</v>
      </c>
      <c r="F256" s="3">
        <v>3.1823000000000001</v>
      </c>
      <c r="G256" s="3">
        <v>-1.3410599999999999</v>
      </c>
      <c r="H256" s="1" t="s">
        <v>10</v>
      </c>
    </row>
    <row r="257" spans="1:8" x14ac:dyDescent="0.3">
      <c r="A257" s="1">
        <v>2005</v>
      </c>
      <c r="B257" s="1">
        <v>4</v>
      </c>
      <c r="C257" s="1">
        <v>15</v>
      </c>
      <c r="D257" s="6">
        <v>2005.284932</v>
      </c>
      <c r="E257" s="2">
        <v>1717.18</v>
      </c>
      <c r="F257" s="3">
        <v>2.222</v>
      </c>
      <c r="G257" s="3">
        <v>-0.77697799999999995</v>
      </c>
      <c r="H257" s="1" t="s">
        <v>10</v>
      </c>
    </row>
    <row r="258" spans="1:8" x14ac:dyDescent="0.3">
      <c r="A258" s="1">
        <v>2005</v>
      </c>
      <c r="B258" s="1">
        <v>5</v>
      </c>
      <c r="C258" s="1">
        <v>15</v>
      </c>
      <c r="D258" s="6">
        <v>2005.367123</v>
      </c>
      <c r="E258" s="2">
        <v>1725.36</v>
      </c>
      <c r="F258" s="3">
        <v>3.8841000000000001</v>
      </c>
      <c r="G258" s="3">
        <v>1.2279100000000001</v>
      </c>
      <c r="H258" s="1" t="s">
        <v>10</v>
      </c>
    </row>
    <row r="259" spans="1:8" x14ac:dyDescent="0.3">
      <c r="A259" s="1">
        <v>2005</v>
      </c>
      <c r="B259" s="1">
        <v>6</v>
      </c>
      <c r="C259" s="1">
        <v>15</v>
      </c>
      <c r="D259" s="6">
        <v>2005.452055</v>
      </c>
      <c r="E259" s="2">
        <v>1730.94</v>
      </c>
      <c r="F259" s="3">
        <v>1.3308</v>
      </c>
      <c r="G259" s="3">
        <v>1.9710700000000001</v>
      </c>
      <c r="H259" s="1" t="s">
        <v>10</v>
      </c>
    </row>
    <row r="260" spans="1:8" x14ac:dyDescent="0.3">
      <c r="A260" s="1">
        <v>2005</v>
      </c>
      <c r="B260" s="1">
        <v>7</v>
      </c>
      <c r="C260" s="1">
        <v>15</v>
      </c>
      <c r="D260" s="6">
        <v>2005.5342470000001</v>
      </c>
      <c r="E260" s="2">
        <v>1735.1</v>
      </c>
      <c r="F260" s="3">
        <v>3.4194</v>
      </c>
      <c r="G260" s="3">
        <v>1.10205</v>
      </c>
      <c r="H260" s="1" t="s">
        <v>10</v>
      </c>
    </row>
    <row r="261" spans="1:8" x14ac:dyDescent="0.3">
      <c r="A261" s="1">
        <v>2005</v>
      </c>
      <c r="B261" s="1">
        <v>8</v>
      </c>
      <c r="C261" s="1">
        <v>15</v>
      </c>
      <c r="D261" s="6">
        <v>2005.6191779999999</v>
      </c>
      <c r="E261" s="2">
        <v>1740.34</v>
      </c>
      <c r="F261" s="3">
        <v>1.8727</v>
      </c>
      <c r="G261" s="3">
        <v>0.52099600000000001</v>
      </c>
      <c r="H261" s="1" t="s">
        <v>10</v>
      </c>
    </row>
    <row r="262" spans="1:8" x14ac:dyDescent="0.3">
      <c r="A262" s="1">
        <v>2005</v>
      </c>
      <c r="B262" s="1">
        <v>9</v>
      </c>
      <c r="C262" s="1">
        <v>15</v>
      </c>
      <c r="D262" s="6">
        <v>2005.7041099999999</v>
      </c>
      <c r="E262" s="2">
        <v>1741.8</v>
      </c>
      <c r="F262" s="3">
        <v>0.91039999999999999</v>
      </c>
      <c r="G262" s="3">
        <v>0.35693399999999997</v>
      </c>
      <c r="H262" s="1" t="s">
        <v>10</v>
      </c>
    </row>
    <row r="263" spans="1:8" x14ac:dyDescent="0.3">
      <c r="A263" s="1">
        <v>2005</v>
      </c>
      <c r="B263" s="1">
        <v>10</v>
      </c>
      <c r="C263" s="1">
        <v>15</v>
      </c>
      <c r="D263" s="6">
        <v>2005.7863010000001</v>
      </c>
      <c r="E263" s="2">
        <v>1740.25</v>
      </c>
      <c r="F263" s="3">
        <v>3.6627000000000001</v>
      </c>
      <c r="G263" s="3">
        <v>6.5918000000000004E-2</v>
      </c>
      <c r="H263" s="1" t="s">
        <v>10</v>
      </c>
    </row>
    <row r="264" spans="1:8" x14ac:dyDescent="0.3">
      <c r="A264" s="1">
        <v>2005</v>
      </c>
      <c r="B264" s="1">
        <v>11</v>
      </c>
      <c r="C264" s="1">
        <v>15</v>
      </c>
      <c r="D264" s="6">
        <v>2005.8712330000001</v>
      </c>
      <c r="E264" s="2">
        <v>1736.02</v>
      </c>
      <c r="F264" s="3">
        <v>1.8191999999999999</v>
      </c>
      <c r="G264" s="3">
        <v>-2.0880100000000001</v>
      </c>
      <c r="H264" s="1" t="s">
        <v>10</v>
      </c>
    </row>
    <row r="265" spans="1:8" x14ac:dyDescent="0.3">
      <c r="A265" s="1">
        <v>2005</v>
      </c>
      <c r="B265" s="1">
        <v>12</v>
      </c>
      <c r="C265" s="1">
        <v>15</v>
      </c>
      <c r="D265" s="6">
        <v>2005.9534249999999</v>
      </c>
      <c r="E265" s="2">
        <v>1728.02</v>
      </c>
      <c r="F265" s="3">
        <v>3.2618999999999998</v>
      </c>
      <c r="G265" s="3">
        <v>-1.4539800000000001</v>
      </c>
      <c r="H265" s="1" t="s">
        <v>10</v>
      </c>
    </row>
    <row r="266" spans="1:8" x14ac:dyDescent="0.3">
      <c r="A266" s="1">
        <v>2006</v>
      </c>
      <c r="B266" s="1">
        <v>1</v>
      </c>
      <c r="C266" s="1">
        <v>15</v>
      </c>
      <c r="D266" s="6">
        <v>2006.038356</v>
      </c>
      <c r="E266" s="2">
        <v>1718.52</v>
      </c>
      <c r="F266" s="3">
        <v>4.3392999999999997</v>
      </c>
      <c r="G266" s="3">
        <v>-0.24902299999999999</v>
      </c>
      <c r="H266" s="1" t="s">
        <v>10</v>
      </c>
    </row>
    <row r="267" spans="1:8" x14ac:dyDescent="0.3">
      <c r="A267" s="1">
        <v>2006</v>
      </c>
      <c r="B267" s="1">
        <v>2</v>
      </c>
      <c r="C267" s="1">
        <v>15</v>
      </c>
      <c r="D267" s="6">
        <v>2006.123288</v>
      </c>
      <c r="E267" s="2">
        <v>1711.98</v>
      </c>
      <c r="F267" s="3">
        <v>3.5531000000000001</v>
      </c>
      <c r="G267" s="3">
        <v>-2.4100299999999999</v>
      </c>
      <c r="H267" s="1" t="s">
        <v>10</v>
      </c>
    </row>
    <row r="268" spans="1:8" x14ac:dyDescent="0.3">
      <c r="A268" s="1">
        <v>2006</v>
      </c>
      <c r="B268" s="1">
        <v>3</v>
      </c>
      <c r="C268" s="1">
        <v>15</v>
      </c>
      <c r="D268" s="6">
        <v>2006.2</v>
      </c>
      <c r="E268" s="2">
        <v>1711.92</v>
      </c>
      <c r="F268" s="3">
        <v>2.4961000000000002</v>
      </c>
      <c r="G268" s="3">
        <v>-1.5789800000000001</v>
      </c>
      <c r="H268" s="1" t="s">
        <v>10</v>
      </c>
    </row>
    <row r="269" spans="1:8" x14ac:dyDescent="0.3">
      <c r="A269" s="1">
        <v>2006</v>
      </c>
      <c r="B269" s="1">
        <v>4</v>
      </c>
      <c r="C269" s="1">
        <v>15</v>
      </c>
      <c r="D269" s="6">
        <v>2006.284932</v>
      </c>
      <c r="E269" s="2">
        <v>1717.25</v>
      </c>
      <c r="F269" s="3">
        <v>2.3328000000000002</v>
      </c>
      <c r="G269" s="3">
        <v>-0.19799800000000001</v>
      </c>
      <c r="H269" s="1" t="s">
        <v>10</v>
      </c>
    </row>
    <row r="270" spans="1:8" x14ac:dyDescent="0.3">
      <c r="A270" s="1">
        <v>2006</v>
      </c>
      <c r="B270" s="1">
        <v>5</v>
      </c>
      <c r="C270" s="1">
        <v>15</v>
      </c>
      <c r="D270" s="6">
        <v>2006.367123</v>
      </c>
      <c r="E270" s="2">
        <v>1723.28</v>
      </c>
      <c r="F270" s="3">
        <v>3.2288000000000001</v>
      </c>
      <c r="G270" s="3">
        <v>-0.24890100000000001</v>
      </c>
      <c r="H270" s="1" t="s">
        <v>10</v>
      </c>
    </row>
    <row r="271" spans="1:8" x14ac:dyDescent="0.3">
      <c r="A271" s="1">
        <v>2006</v>
      </c>
      <c r="B271" s="1">
        <v>6</v>
      </c>
      <c r="C271" s="1">
        <v>15</v>
      </c>
      <c r="D271" s="6">
        <v>2006.452055</v>
      </c>
      <c r="E271" s="2">
        <v>1729.49</v>
      </c>
      <c r="F271" s="3">
        <v>2.1150000000000002</v>
      </c>
      <c r="G271" s="3">
        <v>-0.26599099999999998</v>
      </c>
      <c r="H271" s="1" t="s">
        <v>10</v>
      </c>
    </row>
    <row r="272" spans="1:8" x14ac:dyDescent="0.3">
      <c r="A272" s="1">
        <v>2006</v>
      </c>
      <c r="B272" s="1">
        <v>7</v>
      </c>
      <c r="C272" s="1">
        <v>15</v>
      </c>
      <c r="D272" s="6">
        <v>2006.5342470000001</v>
      </c>
      <c r="E272" s="2">
        <v>1734.85</v>
      </c>
      <c r="F272" s="3">
        <v>3.9554</v>
      </c>
      <c r="G272" s="3">
        <v>-0.39306600000000003</v>
      </c>
      <c r="H272" s="1" t="s">
        <v>10</v>
      </c>
    </row>
    <row r="273" spans="1:8" x14ac:dyDescent="0.3">
      <c r="A273" s="1">
        <v>2006</v>
      </c>
      <c r="B273" s="1">
        <v>8</v>
      </c>
      <c r="C273" s="1">
        <v>15</v>
      </c>
      <c r="D273" s="6">
        <v>2006.6191779999999</v>
      </c>
      <c r="E273" s="2">
        <v>1737.93</v>
      </c>
      <c r="F273" s="3">
        <v>2.8338999999999999</v>
      </c>
      <c r="G273" s="3">
        <v>0.68090799999999996</v>
      </c>
      <c r="H273" s="1" t="s">
        <v>10</v>
      </c>
    </row>
    <row r="274" spans="1:8" x14ac:dyDescent="0.3">
      <c r="A274" s="1">
        <v>2006</v>
      </c>
      <c r="B274" s="1">
        <v>9</v>
      </c>
      <c r="C274" s="1">
        <v>15</v>
      </c>
      <c r="D274" s="6">
        <v>2006.7041099999999</v>
      </c>
      <c r="E274" s="2">
        <v>1740.22</v>
      </c>
      <c r="F274" s="3">
        <v>1.7454000000000001</v>
      </c>
      <c r="G274" s="3">
        <v>2.0009800000000002</v>
      </c>
      <c r="H274" s="1" t="s">
        <v>10</v>
      </c>
    </row>
    <row r="275" spans="1:8" x14ac:dyDescent="0.3">
      <c r="A275" s="1">
        <v>2006</v>
      </c>
      <c r="B275" s="1">
        <v>10</v>
      </c>
      <c r="C275" s="1">
        <v>15</v>
      </c>
      <c r="D275" s="6">
        <v>2006.7863010000001</v>
      </c>
      <c r="E275" s="2">
        <v>1740.05</v>
      </c>
      <c r="F275" s="3">
        <v>2.2927</v>
      </c>
      <c r="G275" s="3">
        <v>2.9400599999999999</v>
      </c>
      <c r="H275" s="1" t="s">
        <v>10</v>
      </c>
    </row>
    <row r="276" spans="1:8" x14ac:dyDescent="0.3">
      <c r="A276" s="1">
        <v>2006</v>
      </c>
      <c r="B276" s="1">
        <v>11</v>
      </c>
      <c r="C276" s="1">
        <v>15</v>
      </c>
      <c r="D276" s="6">
        <v>2006.8712330000001</v>
      </c>
      <c r="E276" s="2">
        <v>1735.77</v>
      </c>
      <c r="F276" s="3">
        <v>3.9216000000000002</v>
      </c>
      <c r="G276" s="3">
        <v>4.7829600000000001</v>
      </c>
      <c r="H276" s="1" t="s">
        <v>10</v>
      </c>
    </row>
    <row r="277" spans="1:8" x14ac:dyDescent="0.3">
      <c r="A277" s="1">
        <v>2006</v>
      </c>
      <c r="B277" s="1">
        <v>12</v>
      </c>
      <c r="C277" s="1">
        <v>15</v>
      </c>
      <c r="D277" s="6">
        <v>2006.9534249999999</v>
      </c>
      <c r="E277" s="2">
        <v>1727.75</v>
      </c>
      <c r="F277" s="3">
        <v>2.972</v>
      </c>
      <c r="G277" s="3">
        <v>6.6660199999999996</v>
      </c>
      <c r="H277" s="1" t="s">
        <v>10</v>
      </c>
    </row>
    <row r="278" spans="1:8" x14ac:dyDescent="0.3">
      <c r="A278" s="1">
        <v>2007</v>
      </c>
      <c r="B278" s="1">
        <v>1</v>
      </c>
      <c r="C278" s="1">
        <v>15</v>
      </c>
      <c r="D278" s="6">
        <v>2007.038356</v>
      </c>
      <c r="E278" s="2">
        <v>1718.13</v>
      </c>
      <c r="F278" s="3">
        <v>2.6194999999999999</v>
      </c>
      <c r="G278" s="3">
        <v>7.5920399999999999</v>
      </c>
      <c r="H278" s="1" t="s">
        <v>10</v>
      </c>
    </row>
    <row r="279" spans="1:8" x14ac:dyDescent="0.3">
      <c r="A279" s="1">
        <v>2007</v>
      </c>
      <c r="B279" s="1">
        <v>2</v>
      </c>
      <c r="C279" s="1">
        <v>15</v>
      </c>
      <c r="D279" s="6">
        <v>2007.123288</v>
      </c>
      <c r="E279" s="2">
        <v>1712.66</v>
      </c>
      <c r="F279" s="3">
        <v>1.8665</v>
      </c>
      <c r="G279" s="3">
        <v>7.6970200000000002</v>
      </c>
      <c r="H279" s="1" t="s">
        <v>10</v>
      </c>
    </row>
    <row r="280" spans="1:8" x14ac:dyDescent="0.3">
      <c r="A280" s="1">
        <v>2007</v>
      </c>
      <c r="B280" s="1">
        <v>3</v>
      </c>
      <c r="C280" s="1">
        <v>15</v>
      </c>
      <c r="D280" s="6">
        <v>2007.2</v>
      </c>
      <c r="E280" s="2">
        <v>1713.92</v>
      </c>
      <c r="F280" s="3">
        <v>2.3241999999999998</v>
      </c>
      <c r="G280" s="3">
        <v>8.2029999999999994</v>
      </c>
      <c r="H280" s="1" t="s">
        <v>10</v>
      </c>
    </row>
    <row r="281" spans="1:8" x14ac:dyDescent="0.3">
      <c r="A281" s="1">
        <v>2007</v>
      </c>
      <c r="B281" s="1">
        <v>4</v>
      </c>
      <c r="C281" s="1">
        <v>15</v>
      </c>
      <c r="D281" s="6">
        <v>2007.284932</v>
      </c>
      <c r="E281" s="2">
        <v>1720.19</v>
      </c>
      <c r="F281" s="3">
        <v>2.1947999999999999</v>
      </c>
      <c r="G281" s="3">
        <v>8.7139900000000008</v>
      </c>
      <c r="H281" s="1" t="s">
        <v>10</v>
      </c>
    </row>
    <row r="282" spans="1:8" x14ac:dyDescent="0.3">
      <c r="A282" s="1">
        <v>2007</v>
      </c>
      <c r="B282" s="1">
        <v>5</v>
      </c>
      <c r="C282" s="1">
        <v>15</v>
      </c>
      <c r="D282" s="6">
        <v>2007.367123</v>
      </c>
      <c r="E282" s="2">
        <v>1728.06</v>
      </c>
      <c r="F282" s="3">
        <v>2.8622000000000001</v>
      </c>
      <c r="G282" s="3">
        <v>8.3230000000000004</v>
      </c>
      <c r="H282" s="1" t="s">
        <v>10</v>
      </c>
    </row>
    <row r="283" spans="1:8" x14ac:dyDescent="0.3">
      <c r="A283" s="1">
        <v>2007</v>
      </c>
      <c r="B283" s="1">
        <v>6</v>
      </c>
      <c r="C283" s="1">
        <v>15</v>
      </c>
      <c r="D283" s="6">
        <v>2007.452055</v>
      </c>
      <c r="E283" s="2">
        <v>1736.15</v>
      </c>
      <c r="F283" s="3">
        <v>3.0958999999999999</v>
      </c>
      <c r="G283" s="3">
        <v>8.8889200000000006</v>
      </c>
      <c r="H283" s="1" t="s">
        <v>10</v>
      </c>
    </row>
    <row r="284" spans="1:8" x14ac:dyDescent="0.3">
      <c r="A284" s="1">
        <v>2007</v>
      </c>
      <c r="B284" s="1">
        <v>7</v>
      </c>
      <c r="C284" s="1">
        <v>15</v>
      </c>
      <c r="D284" s="6">
        <v>2007.5342470000001</v>
      </c>
      <c r="E284" s="2">
        <v>1742.44</v>
      </c>
      <c r="F284" s="3">
        <v>2.5840000000000001</v>
      </c>
      <c r="G284" s="3">
        <v>11.191000000000001</v>
      </c>
      <c r="H284" s="1" t="s">
        <v>10</v>
      </c>
    </row>
    <row r="285" spans="1:8" x14ac:dyDescent="0.3">
      <c r="A285" s="1">
        <v>2007</v>
      </c>
      <c r="B285" s="1">
        <v>8</v>
      </c>
      <c r="C285" s="1">
        <v>15</v>
      </c>
      <c r="D285" s="6">
        <v>2007.6191779999999</v>
      </c>
      <c r="E285" s="2">
        <v>1745.63</v>
      </c>
      <c r="F285" s="3">
        <v>1.56</v>
      </c>
      <c r="G285" s="3">
        <v>11.87</v>
      </c>
      <c r="H285" s="1" t="s">
        <v>10</v>
      </c>
    </row>
    <row r="286" spans="1:8" x14ac:dyDescent="0.3">
      <c r="A286" s="1">
        <v>2007</v>
      </c>
      <c r="B286" s="1">
        <v>9</v>
      </c>
      <c r="C286" s="1">
        <v>15</v>
      </c>
      <c r="D286" s="6">
        <v>2007.7041099999999</v>
      </c>
      <c r="E286" s="2">
        <v>1748.43</v>
      </c>
      <c r="F286" s="3">
        <v>2.0150000000000001</v>
      </c>
      <c r="G286" s="3">
        <v>11.993</v>
      </c>
      <c r="H286" s="1" t="s">
        <v>10</v>
      </c>
    </row>
    <row r="287" spans="1:8" x14ac:dyDescent="0.3">
      <c r="A287" s="1">
        <v>2007</v>
      </c>
      <c r="B287" s="1">
        <v>10</v>
      </c>
      <c r="C287" s="1">
        <v>15</v>
      </c>
      <c r="D287" s="6">
        <v>2007.7863010000001</v>
      </c>
      <c r="E287" s="2">
        <v>1748.77</v>
      </c>
      <c r="F287" s="3">
        <v>1.7101999999999999</v>
      </c>
      <c r="G287" s="3">
        <v>12.651</v>
      </c>
      <c r="H287" s="1" t="s">
        <v>10</v>
      </c>
    </row>
    <row r="288" spans="1:8" x14ac:dyDescent="0.3">
      <c r="A288" s="1">
        <v>2007</v>
      </c>
      <c r="B288" s="1">
        <v>11</v>
      </c>
      <c r="C288" s="1">
        <v>15</v>
      </c>
      <c r="D288" s="6">
        <v>2007.8712330000001</v>
      </c>
      <c r="E288" s="2">
        <v>1744.09</v>
      </c>
      <c r="F288" s="3">
        <v>2.3647999999999998</v>
      </c>
      <c r="G288" s="3">
        <v>10.058</v>
      </c>
      <c r="H288" s="1" t="s">
        <v>10</v>
      </c>
    </row>
    <row r="289" spans="1:8" x14ac:dyDescent="0.3">
      <c r="A289" s="1">
        <v>2007</v>
      </c>
      <c r="B289" s="1">
        <v>12</v>
      </c>
      <c r="C289" s="1">
        <v>15</v>
      </c>
      <c r="D289" s="6">
        <v>2007.9534249999999</v>
      </c>
      <c r="E289" s="2">
        <v>1736.64</v>
      </c>
      <c r="F289" s="3">
        <v>2.536</v>
      </c>
      <c r="G289" s="3">
        <v>6.2209500000000002</v>
      </c>
      <c r="H289" s="1" t="s">
        <v>10</v>
      </c>
    </row>
    <row r="290" spans="1:8" x14ac:dyDescent="0.3">
      <c r="A290" s="1">
        <v>2008</v>
      </c>
      <c r="B290" s="1">
        <v>1</v>
      </c>
      <c r="C290" s="1">
        <v>15</v>
      </c>
      <c r="D290" s="6">
        <v>2008.0382509999999</v>
      </c>
      <c r="E290" s="2">
        <v>1729.32</v>
      </c>
      <c r="F290" s="3">
        <v>2.7471000000000001</v>
      </c>
      <c r="G290" s="3">
        <v>7.9929199999999998</v>
      </c>
      <c r="H290" s="1" t="s">
        <v>10</v>
      </c>
    </row>
    <row r="291" spans="1:8" x14ac:dyDescent="0.3">
      <c r="A291" s="1">
        <v>2008</v>
      </c>
      <c r="B291" s="1">
        <v>2</v>
      </c>
      <c r="C291" s="1">
        <v>15</v>
      </c>
      <c r="D291" s="6">
        <v>2008.1229510000001</v>
      </c>
      <c r="E291" s="2">
        <v>1724.53</v>
      </c>
      <c r="F291" s="3">
        <v>2.0188999999999999</v>
      </c>
      <c r="G291" s="3">
        <v>10.398899999999999</v>
      </c>
      <c r="H291" s="1" t="s">
        <v>10</v>
      </c>
    </row>
    <row r="292" spans="1:8" x14ac:dyDescent="0.3">
      <c r="A292" s="1">
        <v>2008</v>
      </c>
      <c r="B292" s="1">
        <v>3</v>
      </c>
      <c r="C292" s="1">
        <v>15</v>
      </c>
      <c r="D292" s="6">
        <v>2008.202186</v>
      </c>
      <c r="E292" s="2">
        <v>1725.92</v>
      </c>
      <c r="F292" s="3">
        <v>3.5081000000000002</v>
      </c>
      <c r="G292" s="3">
        <v>7.43506</v>
      </c>
      <c r="H292" s="1" t="s">
        <v>10</v>
      </c>
    </row>
    <row r="293" spans="1:8" x14ac:dyDescent="0.3">
      <c r="A293" s="1">
        <v>2008</v>
      </c>
      <c r="B293" s="1">
        <v>4</v>
      </c>
      <c r="C293" s="1">
        <v>15</v>
      </c>
      <c r="D293" s="6">
        <v>2008.286885</v>
      </c>
      <c r="E293" s="2">
        <v>1732.84</v>
      </c>
      <c r="F293" s="3">
        <v>4.1475999999999997</v>
      </c>
      <c r="G293" s="3">
        <v>5.8320299999999996</v>
      </c>
      <c r="H293" s="1" t="s">
        <v>10</v>
      </c>
    </row>
    <row r="294" spans="1:8" x14ac:dyDescent="0.3">
      <c r="A294" s="1">
        <v>2008</v>
      </c>
      <c r="B294" s="1">
        <v>5</v>
      </c>
      <c r="C294" s="1">
        <v>15</v>
      </c>
      <c r="D294" s="6">
        <v>2008.3688520000001</v>
      </c>
      <c r="E294" s="2">
        <v>1738.12</v>
      </c>
      <c r="F294" s="3">
        <v>1.6884999999999999</v>
      </c>
      <c r="G294" s="3">
        <v>5.1749299999999998</v>
      </c>
      <c r="H294" s="1" t="s">
        <v>10</v>
      </c>
    </row>
    <row r="295" spans="1:8" x14ac:dyDescent="0.3">
      <c r="A295" s="1">
        <v>2008</v>
      </c>
      <c r="B295" s="1">
        <v>6</v>
      </c>
      <c r="C295" s="1">
        <v>15</v>
      </c>
      <c r="D295" s="6">
        <v>2008.4535519999999</v>
      </c>
      <c r="E295" s="2">
        <v>1742.38</v>
      </c>
      <c r="F295" s="3">
        <v>2.9003999999999999</v>
      </c>
      <c r="G295" s="3">
        <v>2.1680899999999999</v>
      </c>
      <c r="H295" s="1" t="s">
        <v>10</v>
      </c>
    </row>
    <row r="296" spans="1:8" x14ac:dyDescent="0.3">
      <c r="A296" s="1">
        <v>2008</v>
      </c>
      <c r="B296" s="1">
        <v>7</v>
      </c>
      <c r="C296" s="1">
        <v>15</v>
      </c>
      <c r="D296" s="6">
        <v>2008.535519</v>
      </c>
      <c r="E296" s="2">
        <v>1750.43</v>
      </c>
      <c r="F296" s="3">
        <v>3.4041000000000001</v>
      </c>
      <c r="G296" s="3">
        <v>1.19702</v>
      </c>
      <c r="H296" s="1" t="s">
        <v>10</v>
      </c>
    </row>
    <row r="297" spans="1:8" x14ac:dyDescent="0.3">
      <c r="A297" s="1">
        <v>2008</v>
      </c>
      <c r="B297" s="1">
        <v>8</v>
      </c>
      <c r="C297" s="1">
        <v>15</v>
      </c>
      <c r="D297" s="6">
        <v>2008.6202189999999</v>
      </c>
      <c r="E297" s="2">
        <v>1756.03</v>
      </c>
      <c r="F297" s="3">
        <v>1.4258</v>
      </c>
      <c r="G297" s="3">
        <v>1.7700199999999999</v>
      </c>
      <c r="H297" s="1" t="s">
        <v>10</v>
      </c>
    </row>
    <row r="298" spans="1:8" x14ac:dyDescent="0.3">
      <c r="A298" s="1">
        <v>2008</v>
      </c>
      <c r="B298" s="1">
        <v>9</v>
      </c>
      <c r="C298" s="1">
        <v>15</v>
      </c>
      <c r="D298" s="6">
        <v>2008.7049179999999</v>
      </c>
      <c r="E298" s="2">
        <v>1755.86</v>
      </c>
      <c r="F298" s="3">
        <v>2.2086000000000001</v>
      </c>
      <c r="G298" s="3">
        <v>0.77697799999999995</v>
      </c>
      <c r="H298" s="1" t="s">
        <v>10</v>
      </c>
    </row>
    <row r="299" spans="1:8" x14ac:dyDescent="0.3">
      <c r="A299" s="1">
        <v>2008</v>
      </c>
      <c r="B299" s="1">
        <v>10</v>
      </c>
      <c r="C299" s="1">
        <v>15</v>
      </c>
      <c r="D299" s="6">
        <v>2008.786885</v>
      </c>
      <c r="E299" s="2">
        <v>1754.6</v>
      </c>
      <c r="F299" s="3">
        <v>2.3664000000000001</v>
      </c>
      <c r="G299" s="3">
        <v>-0.56005899999999997</v>
      </c>
      <c r="H299" s="1" t="s">
        <v>10</v>
      </c>
    </row>
    <row r="300" spans="1:8" x14ac:dyDescent="0.3">
      <c r="A300" s="1">
        <v>2008</v>
      </c>
      <c r="B300" s="1">
        <v>11</v>
      </c>
      <c r="C300" s="1">
        <v>15</v>
      </c>
      <c r="D300" s="6">
        <v>2008.8715850000001</v>
      </c>
      <c r="E300" s="2">
        <v>1749.27</v>
      </c>
      <c r="F300" s="3">
        <v>3.9916</v>
      </c>
      <c r="G300" s="3">
        <v>0.84606899999999996</v>
      </c>
      <c r="H300" s="1" t="s">
        <v>10</v>
      </c>
    </row>
    <row r="301" spans="1:8" x14ac:dyDescent="0.3">
      <c r="A301" s="1">
        <v>2008</v>
      </c>
      <c r="B301" s="1">
        <v>12</v>
      </c>
      <c r="C301" s="1">
        <v>15</v>
      </c>
      <c r="D301" s="6">
        <v>2008.9535519999999</v>
      </c>
      <c r="E301" s="2">
        <v>1738.81</v>
      </c>
      <c r="F301" s="3">
        <v>3.57</v>
      </c>
      <c r="G301" s="3">
        <v>3.56995</v>
      </c>
      <c r="H301" s="1" t="s">
        <v>10</v>
      </c>
    </row>
    <row r="302" spans="1:8" x14ac:dyDescent="0.3">
      <c r="A302" s="1">
        <v>2009</v>
      </c>
      <c r="B302" s="1">
        <v>1</v>
      </c>
      <c r="C302" s="1">
        <v>15</v>
      </c>
      <c r="D302" s="6">
        <v>2009.038356</v>
      </c>
      <c r="E302" s="2">
        <v>1730.51</v>
      </c>
      <c r="F302" s="3">
        <v>3.7944</v>
      </c>
      <c r="G302" s="3">
        <v>2.5209999999999999</v>
      </c>
      <c r="H302" s="1" t="s">
        <v>10</v>
      </c>
    </row>
    <row r="303" spans="1:8" x14ac:dyDescent="0.3">
      <c r="A303" s="1">
        <v>2009</v>
      </c>
      <c r="B303" s="1">
        <v>2</v>
      </c>
      <c r="C303" s="1">
        <v>15</v>
      </c>
      <c r="D303" s="6">
        <v>2009.123288</v>
      </c>
      <c r="E303" s="2">
        <v>1726.3</v>
      </c>
      <c r="F303" s="3">
        <v>0.72199999999999998</v>
      </c>
      <c r="G303" s="3">
        <v>2.2980999999999998</v>
      </c>
      <c r="H303" s="1" t="s">
        <v>10</v>
      </c>
    </row>
    <row r="304" spans="1:8" x14ac:dyDescent="0.3">
      <c r="A304" s="1">
        <v>2009</v>
      </c>
      <c r="B304" s="1">
        <v>3</v>
      </c>
      <c r="C304" s="1">
        <v>15</v>
      </c>
      <c r="D304" s="6">
        <v>2009.2</v>
      </c>
      <c r="E304" s="2">
        <v>1726.69</v>
      </c>
      <c r="F304" s="3">
        <v>2.1078000000000001</v>
      </c>
      <c r="G304" s="3">
        <v>4.4149200000000004</v>
      </c>
      <c r="H304" s="1" t="s">
        <v>10</v>
      </c>
    </row>
    <row r="305" spans="1:8" x14ac:dyDescent="0.3">
      <c r="A305" s="1">
        <v>2009</v>
      </c>
      <c r="B305" s="1">
        <v>4</v>
      </c>
      <c r="C305" s="1">
        <v>15</v>
      </c>
      <c r="D305" s="6">
        <v>2009.284932</v>
      </c>
      <c r="E305" s="2">
        <v>1732.28</v>
      </c>
      <c r="F305" s="3">
        <v>2.4523999999999999</v>
      </c>
      <c r="G305" s="3">
        <v>4.5610400000000002</v>
      </c>
      <c r="H305" s="1" t="s">
        <v>10</v>
      </c>
    </row>
    <row r="306" spans="1:8" x14ac:dyDescent="0.3">
      <c r="A306" s="1">
        <v>2009</v>
      </c>
      <c r="B306" s="1">
        <v>5</v>
      </c>
      <c r="C306" s="1">
        <v>15</v>
      </c>
      <c r="D306" s="6">
        <v>2009.367123</v>
      </c>
      <c r="E306" s="2">
        <v>1738.96</v>
      </c>
      <c r="F306" s="3">
        <v>3.8125</v>
      </c>
      <c r="G306" s="3">
        <v>4.4799800000000003</v>
      </c>
      <c r="H306" s="1" t="s">
        <v>10</v>
      </c>
    </row>
    <row r="307" spans="1:8" x14ac:dyDescent="0.3">
      <c r="A307" s="1">
        <v>2009</v>
      </c>
      <c r="B307" s="1">
        <v>6</v>
      </c>
      <c r="C307" s="1">
        <v>15</v>
      </c>
      <c r="D307" s="6">
        <v>2009.452055</v>
      </c>
      <c r="E307" s="2">
        <v>1745.94</v>
      </c>
      <c r="F307" s="3">
        <v>4.1542000000000003</v>
      </c>
      <c r="G307" s="3">
        <v>4.5889899999999999</v>
      </c>
      <c r="H307" s="1" t="s">
        <v>10</v>
      </c>
    </row>
    <row r="308" spans="1:8" x14ac:dyDescent="0.3">
      <c r="A308" s="1">
        <v>2009</v>
      </c>
      <c r="B308" s="1">
        <v>7</v>
      </c>
      <c r="C308" s="1">
        <v>15</v>
      </c>
      <c r="D308" s="6">
        <v>2009.5342470000001</v>
      </c>
      <c r="E308" s="2">
        <v>1752.95</v>
      </c>
      <c r="F308" s="3">
        <v>2.6335999999999999</v>
      </c>
      <c r="G308" s="3">
        <v>4.9639899999999999</v>
      </c>
      <c r="H308" s="1" t="s">
        <v>10</v>
      </c>
    </row>
    <row r="309" spans="1:8" x14ac:dyDescent="0.3">
      <c r="A309" s="1">
        <v>2009</v>
      </c>
      <c r="B309" s="1">
        <v>8</v>
      </c>
      <c r="C309" s="1">
        <v>15</v>
      </c>
      <c r="D309" s="6">
        <v>2009.6191779999999</v>
      </c>
      <c r="E309" s="2">
        <v>1758.33</v>
      </c>
      <c r="F309" s="3">
        <v>1.5855999999999999</v>
      </c>
      <c r="G309" s="3">
        <v>5.8339800000000004</v>
      </c>
      <c r="H309" s="1" t="s">
        <v>10</v>
      </c>
    </row>
    <row r="310" spans="1:8" x14ac:dyDescent="0.3">
      <c r="A310" s="1">
        <v>2009</v>
      </c>
      <c r="B310" s="1">
        <v>9</v>
      </c>
      <c r="C310" s="1">
        <v>15</v>
      </c>
      <c r="D310" s="6">
        <v>2009.7041099999999</v>
      </c>
      <c r="E310" s="2">
        <v>1760.28</v>
      </c>
      <c r="F310" s="3">
        <v>1.6173</v>
      </c>
      <c r="G310" s="3">
        <v>5.6220699999999999</v>
      </c>
      <c r="H310" s="1" t="s">
        <v>10</v>
      </c>
    </row>
    <row r="311" spans="1:8" x14ac:dyDescent="0.3">
      <c r="A311" s="1">
        <v>2009</v>
      </c>
      <c r="B311" s="1">
        <v>10</v>
      </c>
      <c r="C311" s="1">
        <v>15</v>
      </c>
      <c r="D311" s="6">
        <v>2009.7863010000001</v>
      </c>
      <c r="E311" s="2">
        <v>1759.16</v>
      </c>
      <c r="F311" s="3">
        <v>1.5874999999999999</v>
      </c>
      <c r="G311" s="3">
        <v>4.4250499999999997</v>
      </c>
      <c r="H311" s="1" t="s">
        <v>10</v>
      </c>
    </row>
    <row r="312" spans="1:8" x14ac:dyDescent="0.3">
      <c r="A312" s="1">
        <v>2009</v>
      </c>
      <c r="B312" s="1">
        <v>11</v>
      </c>
      <c r="C312" s="1">
        <v>15</v>
      </c>
      <c r="D312" s="6">
        <v>2009.8712330000001</v>
      </c>
      <c r="E312" s="2">
        <v>1753.75</v>
      </c>
      <c r="F312" s="3">
        <v>2.9094000000000002</v>
      </c>
      <c r="G312" s="3">
        <v>3.4279799999999998</v>
      </c>
      <c r="H312" s="1" t="s">
        <v>10</v>
      </c>
    </row>
    <row r="313" spans="1:8" x14ac:dyDescent="0.3">
      <c r="A313" s="1">
        <v>2009</v>
      </c>
      <c r="B313" s="1">
        <v>12</v>
      </c>
      <c r="C313" s="1">
        <v>15</v>
      </c>
      <c r="D313" s="6">
        <v>2009.9534249999999</v>
      </c>
      <c r="E313" s="2">
        <v>1743.4</v>
      </c>
      <c r="F313" s="3">
        <v>3.6787999999999998</v>
      </c>
      <c r="G313" s="3">
        <v>5.7570800000000002</v>
      </c>
      <c r="H313" s="1" t="s">
        <v>10</v>
      </c>
    </row>
    <row r="314" spans="1:8" x14ac:dyDescent="0.3">
      <c r="A314" s="1">
        <v>2010</v>
      </c>
      <c r="B314" s="1">
        <v>1</v>
      </c>
      <c r="C314" s="1">
        <v>15</v>
      </c>
      <c r="D314" s="6">
        <v>2010.038356</v>
      </c>
      <c r="E314" s="2">
        <v>1735.48</v>
      </c>
      <c r="F314" s="3">
        <v>2.3262999999999998</v>
      </c>
      <c r="G314" s="3">
        <v>9.2050800000000006</v>
      </c>
      <c r="H314" s="1" t="s">
        <v>10</v>
      </c>
    </row>
    <row r="315" spans="1:8" x14ac:dyDescent="0.3">
      <c r="A315" s="1">
        <v>2010</v>
      </c>
      <c r="B315" s="1">
        <v>2</v>
      </c>
      <c r="C315" s="1">
        <v>15</v>
      </c>
      <c r="D315" s="6">
        <v>2010.123288</v>
      </c>
      <c r="E315" s="2">
        <v>1732.13</v>
      </c>
      <c r="F315" s="3">
        <v>1.1608000000000001</v>
      </c>
      <c r="G315" s="3">
        <v>7.6769999999999996</v>
      </c>
      <c r="H315" s="1" t="s">
        <v>10</v>
      </c>
    </row>
    <row r="316" spans="1:8" x14ac:dyDescent="0.3">
      <c r="A316" s="1">
        <v>2010</v>
      </c>
      <c r="B316" s="1">
        <v>3</v>
      </c>
      <c r="C316" s="1">
        <v>15</v>
      </c>
      <c r="D316" s="6">
        <v>2010.2</v>
      </c>
      <c r="E316" s="2">
        <v>1732.32</v>
      </c>
      <c r="F316" s="3">
        <v>2.335</v>
      </c>
      <c r="G316" s="3">
        <v>5.7670899999999996</v>
      </c>
      <c r="H316" s="1" t="s">
        <v>10</v>
      </c>
    </row>
    <row r="317" spans="1:8" x14ac:dyDescent="0.3">
      <c r="A317" s="1">
        <v>2010</v>
      </c>
      <c r="B317" s="1">
        <v>4</v>
      </c>
      <c r="C317" s="1">
        <v>15</v>
      </c>
      <c r="D317" s="6">
        <v>2010.284932</v>
      </c>
      <c r="E317" s="2">
        <v>1736.7</v>
      </c>
      <c r="F317" s="3">
        <v>1.6112</v>
      </c>
      <c r="G317" s="3">
        <v>6.34192</v>
      </c>
      <c r="H317" s="1" t="s">
        <v>10</v>
      </c>
    </row>
    <row r="318" spans="1:8" x14ac:dyDescent="0.3">
      <c r="A318" s="1">
        <v>2010</v>
      </c>
      <c r="B318" s="1">
        <v>5</v>
      </c>
      <c r="C318" s="1">
        <v>15</v>
      </c>
      <c r="D318" s="6">
        <v>2010.367123</v>
      </c>
      <c r="E318" s="2">
        <v>1742.39</v>
      </c>
      <c r="F318" s="3">
        <v>2.2675000000000001</v>
      </c>
      <c r="G318" s="3">
        <v>8.1230499999999992</v>
      </c>
      <c r="H318" s="1" t="s">
        <v>10</v>
      </c>
    </row>
    <row r="319" spans="1:8" x14ac:dyDescent="0.3">
      <c r="A319" s="1">
        <v>2010</v>
      </c>
      <c r="B319" s="1">
        <v>6</v>
      </c>
      <c r="C319" s="1">
        <v>15</v>
      </c>
      <c r="D319" s="6">
        <v>2010.452055</v>
      </c>
      <c r="E319" s="2">
        <v>1751.7</v>
      </c>
      <c r="F319" s="3">
        <v>3.9373999999999998</v>
      </c>
      <c r="G319" s="3">
        <v>10.981</v>
      </c>
      <c r="H319" s="1" t="s">
        <v>10</v>
      </c>
    </row>
    <row r="320" spans="1:8" x14ac:dyDescent="0.3">
      <c r="A320" s="1">
        <v>2010</v>
      </c>
      <c r="B320" s="1">
        <v>7</v>
      </c>
      <c r="C320" s="1">
        <v>15</v>
      </c>
      <c r="D320" s="6">
        <v>2010.5342470000001</v>
      </c>
      <c r="E320" s="2">
        <v>1762.16</v>
      </c>
      <c r="F320" s="3">
        <v>3.0952000000000002</v>
      </c>
      <c r="G320" s="3">
        <v>9.7399900000000006</v>
      </c>
      <c r="H320" s="1" t="s">
        <v>10</v>
      </c>
    </row>
    <row r="321" spans="1:8" x14ac:dyDescent="0.3">
      <c r="A321" s="1">
        <v>2010</v>
      </c>
      <c r="B321" s="1">
        <v>8</v>
      </c>
      <c r="C321" s="1">
        <v>15</v>
      </c>
      <c r="D321" s="6">
        <v>2010.6191779999999</v>
      </c>
      <c r="E321" s="2">
        <v>1766</v>
      </c>
      <c r="F321" s="3">
        <v>1.3914</v>
      </c>
      <c r="G321" s="3">
        <v>7.7340099999999996</v>
      </c>
      <c r="H321" s="1" t="s">
        <v>10</v>
      </c>
    </row>
    <row r="322" spans="1:8" x14ac:dyDescent="0.3">
      <c r="A322" s="1">
        <v>2010</v>
      </c>
      <c r="B322" s="1">
        <v>9</v>
      </c>
      <c r="C322" s="1">
        <v>15</v>
      </c>
      <c r="D322" s="6">
        <v>2010.7041099999999</v>
      </c>
      <c r="E322" s="2">
        <v>1766.05</v>
      </c>
      <c r="F322" s="3">
        <v>1.4033</v>
      </c>
      <c r="G322" s="3">
        <v>10.214</v>
      </c>
      <c r="H322" s="1" t="s">
        <v>10</v>
      </c>
    </row>
    <row r="323" spans="1:8" x14ac:dyDescent="0.3">
      <c r="A323" s="1">
        <v>2010</v>
      </c>
      <c r="B323" s="1">
        <v>10</v>
      </c>
      <c r="C323" s="1">
        <v>15</v>
      </c>
      <c r="D323" s="6">
        <v>2010.7863010000001</v>
      </c>
      <c r="E323" s="2">
        <v>1765.5</v>
      </c>
      <c r="F323" s="3">
        <v>1.0919000000000001</v>
      </c>
      <c r="G323" s="3">
        <v>13.353999999999999</v>
      </c>
      <c r="H323" s="1" t="s">
        <v>10</v>
      </c>
    </row>
    <row r="324" spans="1:8" x14ac:dyDescent="0.3">
      <c r="A324" s="1">
        <v>2010</v>
      </c>
      <c r="B324" s="1">
        <v>11</v>
      </c>
      <c r="C324" s="1">
        <v>15</v>
      </c>
      <c r="D324" s="6">
        <v>2010.8712330000001</v>
      </c>
      <c r="E324" s="2">
        <v>1761.87</v>
      </c>
      <c r="F324" s="3">
        <v>1.7383</v>
      </c>
      <c r="G324" s="3">
        <v>11.417999999999999</v>
      </c>
      <c r="H324" s="1" t="s">
        <v>10</v>
      </c>
    </row>
    <row r="325" spans="1:8" x14ac:dyDescent="0.3">
      <c r="A325" s="1">
        <v>2010</v>
      </c>
      <c r="B325" s="1">
        <v>12</v>
      </c>
      <c r="C325" s="1">
        <v>15</v>
      </c>
      <c r="D325" s="6">
        <v>2010.9534249999999</v>
      </c>
      <c r="E325" s="2">
        <v>1754.38</v>
      </c>
      <c r="F325" s="3">
        <v>3.3831000000000002</v>
      </c>
      <c r="G325" s="3">
        <v>6.4299299999999997</v>
      </c>
      <c r="H325" s="1" t="s">
        <v>10</v>
      </c>
    </row>
    <row r="326" spans="1:8" x14ac:dyDescent="0.3">
      <c r="A326" s="1">
        <v>2011</v>
      </c>
      <c r="B326" s="1">
        <v>1</v>
      </c>
      <c r="C326" s="1">
        <v>15</v>
      </c>
      <c r="D326" s="6">
        <v>2011.038356</v>
      </c>
      <c r="E326" s="2">
        <v>1745.22</v>
      </c>
      <c r="F326" s="3">
        <v>3.306</v>
      </c>
      <c r="G326" s="3">
        <v>3.3109099999999998</v>
      </c>
      <c r="H326" s="1" t="s">
        <v>10</v>
      </c>
    </row>
    <row r="327" spans="1:8" x14ac:dyDescent="0.3">
      <c r="A327" s="1">
        <v>2011</v>
      </c>
      <c r="B327" s="1">
        <v>2</v>
      </c>
      <c r="C327" s="1">
        <v>15</v>
      </c>
      <c r="D327" s="6">
        <v>2011.123288</v>
      </c>
      <c r="E327" s="2">
        <v>1739.87</v>
      </c>
      <c r="F327" s="3">
        <v>1.0026999999999999</v>
      </c>
      <c r="G327" s="3">
        <v>4.5279499999999997</v>
      </c>
      <c r="H327" s="1" t="s">
        <v>10</v>
      </c>
    </row>
    <row r="328" spans="1:8" x14ac:dyDescent="0.3">
      <c r="A328" s="1">
        <v>2011</v>
      </c>
      <c r="B328" s="1">
        <v>3</v>
      </c>
      <c r="C328" s="1">
        <v>15</v>
      </c>
      <c r="D328" s="6">
        <v>2011.2</v>
      </c>
      <c r="E328" s="2">
        <v>1742.53</v>
      </c>
      <c r="F328" s="3">
        <v>2.2717999999999998</v>
      </c>
      <c r="G328" s="3">
        <v>6.9469000000000003</v>
      </c>
      <c r="H328" s="1" t="s">
        <v>10</v>
      </c>
    </row>
    <row r="329" spans="1:8" x14ac:dyDescent="0.3">
      <c r="A329" s="1">
        <v>2011</v>
      </c>
      <c r="B329" s="1">
        <v>4</v>
      </c>
      <c r="C329" s="1">
        <v>15</v>
      </c>
      <c r="D329" s="6">
        <v>2011.284932</v>
      </c>
      <c r="E329" s="2">
        <v>1750.06</v>
      </c>
      <c r="F329" s="3">
        <v>1.8403</v>
      </c>
      <c r="G329" s="3">
        <v>7</v>
      </c>
      <c r="H329" s="1" t="s">
        <v>10</v>
      </c>
    </row>
    <row r="330" spans="1:8" x14ac:dyDescent="0.3">
      <c r="A330" s="1">
        <v>2011</v>
      </c>
      <c r="B330" s="1">
        <v>5</v>
      </c>
      <c r="C330" s="1">
        <v>15</v>
      </c>
      <c r="D330" s="6">
        <v>2011.367123</v>
      </c>
      <c r="E330" s="2">
        <v>1753.81</v>
      </c>
      <c r="F330" s="3">
        <v>4.1121999999999996</v>
      </c>
      <c r="G330" s="3">
        <v>5.1490499999999999</v>
      </c>
      <c r="H330" s="1" t="s">
        <v>10</v>
      </c>
    </row>
    <row r="331" spans="1:8" x14ac:dyDescent="0.3">
      <c r="A331" s="1">
        <v>2011</v>
      </c>
      <c r="B331" s="1">
        <v>6</v>
      </c>
      <c r="C331" s="1">
        <v>15</v>
      </c>
      <c r="D331" s="6">
        <v>2011.452055</v>
      </c>
      <c r="E331" s="2">
        <v>1758.13</v>
      </c>
      <c r="F331" s="3">
        <v>2.2841</v>
      </c>
      <c r="G331" s="3">
        <v>3.4379900000000001</v>
      </c>
      <c r="H331" s="1" t="s">
        <v>10</v>
      </c>
    </row>
    <row r="332" spans="1:8" x14ac:dyDescent="0.3">
      <c r="A332" s="1">
        <v>2011</v>
      </c>
      <c r="B332" s="1">
        <v>7</v>
      </c>
      <c r="C332" s="1">
        <v>15</v>
      </c>
      <c r="D332" s="6">
        <v>2011.5342470000001</v>
      </c>
      <c r="E332" s="2">
        <v>1765.47</v>
      </c>
      <c r="F332" s="3">
        <v>2.8940000000000001</v>
      </c>
      <c r="G332" s="3">
        <v>4.1669900000000002</v>
      </c>
      <c r="H332" s="1" t="s">
        <v>10</v>
      </c>
    </row>
    <row r="333" spans="1:8" x14ac:dyDescent="0.3">
      <c r="A333" s="1">
        <v>2011</v>
      </c>
      <c r="B333" s="1">
        <v>8</v>
      </c>
      <c r="C333" s="1">
        <v>15</v>
      </c>
      <c r="D333" s="6">
        <v>2011.6191779999999</v>
      </c>
      <c r="E333" s="2">
        <v>1770.53</v>
      </c>
      <c r="F333" s="3">
        <v>1.1781999999999999</v>
      </c>
      <c r="G333" s="3">
        <v>4.21509</v>
      </c>
      <c r="H333" s="1" t="s">
        <v>10</v>
      </c>
    </row>
    <row r="334" spans="1:8" x14ac:dyDescent="0.3">
      <c r="A334" s="1">
        <v>2011</v>
      </c>
      <c r="B334" s="1">
        <v>9</v>
      </c>
      <c r="C334" s="1">
        <v>15</v>
      </c>
      <c r="D334" s="6">
        <v>2011.7041099999999</v>
      </c>
      <c r="E334" s="2">
        <v>1772.99</v>
      </c>
      <c r="F334" s="3">
        <v>1.2382</v>
      </c>
      <c r="G334" s="3">
        <v>1.2340100000000001</v>
      </c>
      <c r="H334" s="1" t="s">
        <v>10</v>
      </c>
    </row>
    <row r="335" spans="1:8" x14ac:dyDescent="0.3">
      <c r="A335" s="1">
        <v>2011</v>
      </c>
      <c r="B335" s="1">
        <v>10</v>
      </c>
      <c r="C335" s="1">
        <v>15</v>
      </c>
      <c r="D335" s="6">
        <v>2011.7863010000001</v>
      </c>
      <c r="E335" s="2">
        <v>1772.5</v>
      </c>
      <c r="F335" s="3">
        <v>1.3734</v>
      </c>
      <c r="G335" s="3">
        <v>7.5927700000000001E-2</v>
      </c>
      <c r="H335" s="1" t="s">
        <v>10</v>
      </c>
    </row>
    <row r="336" spans="1:8" x14ac:dyDescent="0.3">
      <c r="A336" s="1">
        <v>2011</v>
      </c>
      <c r="B336" s="1">
        <v>11</v>
      </c>
      <c r="C336" s="1">
        <v>15</v>
      </c>
      <c r="D336" s="6">
        <v>2011.8712330000001</v>
      </c>
      <c r="E336" s="2">
        <v>1767.02</v>
      </c>
      <c r="F336" s="3">
        <v>2.6735000000000002</v>
      </c>
      <c r="G336" s="3">
        <v>3.7050800000000002</v>
      </c>
      <c r="H336" s="1" t="s">
        <v>10</v>
      </c>
    </row>
    <row r="337" spans="1:8" x14ac:dyDescent="0.3">
      <c r="A337" s="1">
        <v>2011</v>
      </c>
      <c r="B337" s="1">
        <v>12</v>
      </c>
      <c r="C337" s="1">
        <v>15</v>
      </c>
      <c r="D337" s="6">
        <v>2011.9534249999999</v>
      </c>
      <c r="E337" s="2">
        <v>1757.82</v>
      </c>
      <c r="F337" s="3">
        <v>2.8504</v>
      </c>
      <c r="G337" s="3">
        <v>5.6051000000000002</v>
      </c>
      <c r="H337" s="1" t="s">
        <v>10</v>
      </c>
    </row>
    <row r="338" spans="1:8" x14ac:dyDescent="0.3">
      <c r="A338" s="1">
        <v>2012</v>
      </c>
      <c r="B338" s="1">
        <v>1</v>
      </c>
      <c r="C338" s="1">
        <v>15</v>
      </c>
      <c r="D338" s="6">
        <v>2012.0382509999999</v>
      </c>
      <c r="E338" s="2">
        <v>1749.39</v>
      </c>
      <c r="F338" s="3">
        <v>2.2153</v>
      </c>
      <c r="G338" s="3">
        <v>4.9630099999999997</v>
      </c>
      <c r="H338" s="1" t="s">
        <v>10</v>
      </c>
    </row>
    <row r="339" spans="1:8" x14ac:dyDescent="0.3">
      <c r="A339" s="1">
        <v>2012</v>
      </c>
      <c r="B339" s="1">
        <v>2</v>
      </c>
      <c r="C339" s="1">
        <v>15</v>
      </c>
      <c r="D339" s="6">
        <v>2012.1229510000001</v>
      </c>
      <c r="E339" s="2">
        <v>1744.08</v>
      </c>
      <c r="F339" s="3">
        <v>2.1297999999999999</v>
      </c>
      <c r="G339" s="3">
        <v>5.0639599999999998</v>
      </c>
      <c r="H339" s="1" t="s">
        <v>10</v>
      </c>
    </row>
    <row r="340" spans="1:8" x14ac:dyDescent="0.3">
      <c r="A340" s="1">
        <v>2012</v>
      </c>
      <c r="B340" s="1">
        <v>3</v>
      </c>
      <c r="C340" s="1">
        <v>15</v>
      </c>
      <c r="D340" s="6">
        <v>2012.202186</v>
      </c>
      <c r="E340" s="2">
        <v>1743.76</v>
      </c>
      <c r="F340" s="3">
        <v>1.8411999999999999</v>
      </c>
      <c r="G340" s="3">
        <v>4.9200400000000002</v>
      </c>
      <c r="H340" s="1" t="s">
        <v>10</v>
      </c>
    </row>
    <row r="341" spans="1:8" x14ac:dyDescent="0.3">
      <c r="A341" s="1">
        <v>2012</v>
      </c>
      <c r="B341" s="1">
        <v>4</v>
      </c>
      <c r="C341" s="1">
        <v>15</v>
      </c>
      <c r="D341" s="6">
        <v>2012.286885</v>
      </c>
      <c r="E341" s="2">
        <v>1750.13</v>
      </c>
      <c r="F341" s="3">
        <v>2.7526999999999999</v>
      </c>
      <c r="G341" s="3">
        <v>4.0770299999999997</v>
      </c>
      <c r="H341" s="1" t="s">
        <v>10</v>
      </c>
    </row>
    <row r="342" spans="1:8" x14ac:dyDescent="0.3">
      <c r="A342" s="1">
        <v>2012</v>
      </c>
      <c r="B342" s="1">
        <v>5</v>
      </c>
      <c r="C342" s="1">
        <v>15</v>
      </c>
      <c r="D342" s="6">
        <v>2012.3688520000001</v>
      </c>
      <c r="E342" s="2">
        <v>1757.51</v>
      </c>
      <c r="F342" s="3">
        <v>2.0051000000000001</v>
      </c>
      <c r="G342" s="3">
        <v>5.0319799999999999</v>
      </c>
      <c r="H342" s="1" t="s">
        <v>10</v>
      </c>
    </row>
    <row r="343" spans="1:8" x14ac:dyDescent="0.3">
      <c r="A343" s="1">
        <v>2012</v>
      </c>
      <c r="B343" s="1">
        <v>6</v>
      </c>
      <c r="C343" s="1">
        <v>15</v>
      </c>
      <c r="D343" s="6">
        <v>2012.4535519999999</v>
      </c>
      <c r="E343" s="2">
        <v>1763.74</v>
      </c>
      <c r="F343" s="3">
        <v>2.117</v>
      </c>
      <c r="G343" s="3">
        <v>5.7650100000000002</v>
      </c>
      <c r="H343" s="1" t="s">
        <v>10</v>
      </c>
    </row>
    <row r="344" spans="1:8" x14ac:dyDescent="0.3">
      <c r="A344" s="1">
        <v>2012</v>
      </c>
      <c r="B344" s="1">
        <v>7</v>
      </c>
      <c r="C344" s="1">
        <v>15</v>
      </c>
      <c r="D344" s="6">
        <v>2012.535519</v>
      </c>
      <c r="E344" s="2">
        <v>1770.43</v>
      </c>
      <c r="F344" s="3">
        <v>2.4954999999999998</v>
      </c>
      <c r="G344" s="3">
        <v>2.8990499999999999</v>
      </c>
      <c r="H344" s="1" t="s">
        <v>10</v>
      </c>
    </row>
    <row r="345" spans="1:8" x14ac:dyDescent="0.3">
      <c r="A345" s="1">
        <v>2012</v>
      </c>
      <c r="B345" s="1">
        <v>8</v>
      </c>
      <c r="C345" s="1">
        <v>15</v>
      </c>
      <c r="D345" s="6">
        <v>2012.6202189999999</v>
      </c>
      <c r="E345" s="2">
        <v>1775.59</v>
      </c>
      <c r="F345" s="3">
        <v>1.6937</v>
      </c>
      <c r="G345" s="3">
        <v>3.36389</v>
      </c>
      <c r="H345" s="1" t="s">
        <v>10</v>
      </c>
    </row>
    <row r="346" spans="1:8" x14ac:dyDescent="0.3">
      <c r="A346" s="1">
        <v>2012</v>
      </c>
      <c r="B346" s="1">
        <v>9</v>
      </c>
      <c r="C346" s="1">
        <v>15</v>
      </c>
      <c r="D346" s="6">
        <v>2012.7049179999999</v>
      </c>
      <c r="E346" s="2">
        <v>1777.91</v>
      </c>
      <c r="F346" s="3">
        <v>1.2821</v>
      </c>
      <c r="G346" s="3">
        <v>4.8259299999999996</v>
      </c>
      <c r="H346" s="1" t="s">
        <v>10</v>
      </c>
    </row>
    <row r="347" spans="1:8" x14ac:dyDescent="0.3">
      <c r="A347" s="1">
        <v>2012</v>
      </c>
      <c r="B347" s="1">
        <v>10</v>
      </c>
      <c r="C347" s="1">
        <v>15</v>
      </c>
      <c r="D347" s="6">
        <v>2012.786885</v>
      </c>
      <c r="E347" s="2">
        <v>1776.58</v>
      </c>
      <c r="F347" s="3">
        <v>1.3180000000000001</v>
      </c>
      <c r="G347" s="3">
        <v>3.06006</v>
      </c>
      <c r="H347" s="1" t="s">
        <v>10</v>
      </c>
    </row>
    <row r="348" spans="1:8" x14ac:dyDescent="0.3">
      <c r="A348" s="1">
        <v>2012</v>
      </c>
      <c r="B348" s="1">
        <v>11</v>
      </c>
      <c r="C348" s="1">
        <v>15</v>
      </c>
      <c r="D348" s="6">
        <v>2012.8715850000001</v>
      </c>
      <c r="E348" s="2">
        <v>1772.05</v>
      </c>
      <c r="F348" s="3">
        <v>2.1162000000000001</v>
      </c>
      <c r="G348" s="3">
        <v>4.03491</v>
      </c>
      <c r="H348" s="1" t="s">
        <v>10</v>
      </c>
    </row>
    <row r="349" spans="1:8" x14ac:dyDescent="0.3">
      <c r="A349" s="1">
        <v>2012</v>
      </c>
      <c r="B349" s="1">
        <v>12</v>
      </c>
      <c r="C349" s="1">
        <v>15</v>
      </c>
      <c r="D349" s="6">
        <v>2012.9535519999999</v>
      </c>
      <c r="E349" s="2">
        <v>1763.58</v>
      </c>
      <c r="F349" s="3">
        <v>3.3530000000000002</v>
      </c>
      <c r="G349" s="3">
        <v>6.4309099999999999</v>
      </c>
      <c r="H349" s="1" t="s">
        <v>10</v>
      </c>
    </row>
    <row r="350" spans="1:8" x14ac:dyDescent="0.3">
      <c r="A350" s="1">
        <v>2013</v>
      </c>
      <c r="B350" s="1">
        <v>1</v>
      </c>
      <c r="C350" s="1">
        <v>15</v>
      </c>
      <c r="D350" s="6">
        <v>2013.03836</v>
      </c>
      <c r="E350" s="2">
        <v>1752.28</v>
      </c>
      <c r="F350" s="3">
        <v>2.6440000000000001</v>
      </c>
      <c r="G350" s="3">
        <v>4.86707</v>
      </c>
      <c r="H350" s="1" t="s">
        <v>9</v>
      </c>
    </row>
    <row r="351" spans="1:8" x14ac:dyDescent="0.3">
      <c r="A351" s="1">
        <v>2013</v>
      </c>
      <c r="B351" s="1">
        <v>2</v>
      </c>
      <c r="C351" s="1">
        <v>15</v>
      </c>
      <c r="D351" s="6">
        <v>2013.12329</v>
      </c>
      <c r="E351" s="2">
        <v>1747.44</v>
      </c>
      <c r="F351" s="3">
        <v>0.81799999999999995</v>
      </c>
      <c r="G351" s="3">
        <v>3.9990199999999998</v>
      </c>
      <c r="H351" s="1" t="s">
        <v>9</v>
      </c>
    </row>
    <row r="352" spans="1:8" x14ac:dyDescent="0.3">
      <c r="A352" s="1">
        <v>2013</v>
      </c>
      <c r="B352" s="1">
        <v>3</v>
      </c>
      <c r="C352" s="1">
        <v>15</v>
      </c>
      <c r="D352" s="6">
        <v>2013.2</v>
      </c>
      <c r="E352" s="2">
        <v>1748.59</v>
      </c>
      <c r="F352" s="3">
        <v>1.147</v>
      </c>
      <c r="G352" s="3">
        <v>3.9500700000000002</v>
      </c>
      <c r="H352" s="1" t="s">
        <v>9</v>
      </c>
    </row>
    <row r="353" spans="1:8" x14ac:dyDescent="0.3">
      <c r="A353" s="1">
        <v>2013</v>
      </c>
      <c r="B353" s="1">
        <v>4</v>
      </c>
      <c r="C353" s="1">
        <v>15</v>
      </c>
      <c r="D353" s="6">
        <v>2013.28493</v>
      </c>
      <c r="E353" s="2">
        <v>1753.19</v>
      </c>
      <c r="F353" s="3">
        <v>2.0019999999999998</v>
      </c>
      <c r="G353" s="3">
        <v>3.0360100000000001</v>
      </c>
      <c r="H353" s="1" t="s">
        <v>9</v>
      </c>
    </row>
    <row r="354" spans="1:8" x14ac:dyDescent="0.3">
      <c r="A354" s="1">
        <v>2013</v>
      </c>
      <c r="B354" s="1">
        <v>5</v>
      </c>
      <c r="C354" s="1">
        <v>15</v>
      </c>
      <c r="D354" s="6">
        <v>2013.3671200000001</v>
      </c>
      <c r="E354" s="2">
        <v>1761.55</v>
      </c>
      <c r="F354" s="3">
        <v>3.0019999999999998</v>
      </c>
      <c r="G354" s="3">
        <v>1.9790000000000001</v>
      </c>
      <c r="H354" s="1" t="s">
        <v>9</v>
      </c>
    </row>
    <row r="355" spans="1:8" x14ac:dyDescent="0.3">
      <c r="A355" s="1">
        <v>2013</v>
      </c>
      <c r="B355" s="1">
        <v>6</v>
      </c>
      <c r="C355" s="1">
        <v>15</v>
      </c>
      <c r="D355" s="6">
        <v>2013.4520500000001</v>
      </c>
      <c r="E355" s="2">
        <v>1770.17</v>
      </c>
      <c r="F355" s="3">
        <v>2.1219999999999999</v>
      </c>
      <c r="G355" s="3">
        <v>1.97803</v>
      </c>
      <c r="H355" s="1" t="s">
        <v>9</v>
      </c>
    </row>
    <row r="356" spans="1:8" x14ac:dyDescent="0.3">
      <c r="A356" s="1">
        <v>2013</v>
      </c>
      <c r="B356" s="1">
        <v>7</v>
      </c>
      <c r="C356" s="1">
        <v>15</v>
      </c>
      <c r="D356" s="6">
        <v>2013.5342499999999</v>
      </c>
      <c r="E356" s="2">
        <v>1775.3</v>
      </c>
      <c r="F356" s="3">
        <v>1.4079999999999999</v>
      </c>
      <c r="G356" s="3">
        <v>3.8889200000000002</v>
      </c>
      <c r="H356" s="1" t="s">
        <v>9</v>
      </c>
    </row>
    <row r="357" spans="1:8" x14ac:dyDescent="0.3">
      <c r="A357" s="1">
        <v>2013</v>
      </c>
      <c r="B357" s="1">
        <v>8</v>
      </c>
      <c r="C357" s="1">
        <v>15</v>
      </c>
      <c r="D357" s="6">
        <v>2013.6191799999999</v>
      </c>
      <c r="E357" s="2">
        <v>1779.59</v>
      </c>
      <c r="F357" s="3">
        <v>1.343</v>
      </c>
      <c r="G357" s="3">
        <v>4.5469999999999997</v>
      </c>
      <c r="H357" s="1" t="s">
        <v>9</v>
      </c>
    </row>
    <row r="358" spans="1:8" x14ac:dyDescent="0.3">
      <c r="A358" s="1">
        <v>2013</v>
      </c>
      <c r="B358" s="1">
        <v>9</v>
      </c>
      <c r="C358" s="1">
        <v>15</v>
      </c>
      <c r="D358" s="6">
        <v>2013.7041099999999</v>
      </c>
      <c r="E358" s="2">
        <v>1781.86</v>
      </c>
      <c r="F358" s="3">
        <v>0.57399999999999995</v>
      </c>
      <c r="G358" s="3">
        <v>5.9379900000000001</v>
      </c>
      <c r="H358" s="1" t="s">
        <v>9</v>
      </c>
    </row>
    <row r="359" spans="1:8" x14ac:dyDescent="0.3">
      <c r="A359" s="1">
        <v>2013</v>
      </c>
      <c r="B359" s="1">
        <v>10</v>
      </c>
      <c r="C359" s="1">
        <v>15</v>
      </c>
      <c r="D359" s="6">
        <v>2013.7863</v>
      </c>
      <c r="E359" s="2">
        <v>1779.61</v>
      </c>
      <c r="F359" s="3">
        <v>1.395</v>
      </c>
      <c r="G359" s="3">
        <v>7.5219699999999996</v>
      </c>
      <c r="H359" s="1" t="s">
        <v>9</v>
      </c>
    </row>
    <row r="360" spans="1:8" x14ac:dyDescent="0.3">
      <c r="A360" s="1">
        <v>2013</v>
      </c>
      <c r="B360" s="1">
        <v>11</v>
      </c>
      <c r="C360" s="1">
        <v>15</v>
      </c>
      <c r="D360" s="6">
        <v>2013.87123</v>
      </c>
      <c r="E360" s="2">
        <v>1774.03</v>
      </c>
      <c r="F360" s="3">
        <v>2.12</v>
      </c>
      <c r="G360" s="3">
        <v>8.1330600000000004</v>
      </c>
      <c r="H360" s="1" t="s">
        <v>9</v>
      </c>
    </row>
    <row r="361" spans="1:8" x14ac:dyDescent="0.3">
      <c r="A361" s="1">
        <v>2013</v>
      </c>
      <c r="B361" s="1">
        <v>12</v>
      </c>
      <c r="C361" s="1">
        <v>15</v>
      </c>
      <c r="D361" s="6">
        <v>2013.9534200000001</v>
      </c>
      <c r="E361" s="2">
        <v>1765.56</v>
      </c>
      <c r="F361" s="3">
        <v>2.972</v>
      </c>
      <c r="G361" s="3">
        <v>9.6669900000000002</v>
      </c>
      <c r="H361" s="1" t="s">
        <v>9</v>
      </c>
    </row>
    <row r="362" spans="1:8" x14ac:dyDescent="0.3">
      <c r="A362" s="1">
        <v>2014</v>
      </c>
      <c r="B362" s="1">
        <v>1</v>
      </c>
      <c r="C362" s="1">
        <v>15</v>
      </c>
      <c r="D362" s="6">
        <v>2014.03836</v>
      </c>
      <c r="E362" s="2">
        <v>1756.17</v>
      </c>
      <c r="F362" s="3">
        <v>2.4049999999999998</v>
      </c>
      <c r="G362" s="3">
        <v>11.819000000000001</v>
      </c>
      <c r="H362" s="1" t="s">
        <v>9</v>
      </c>
    </row>
    <row r="363" spans="1:8" x14ac:dyDescent="0.3">
      <c r="A363" s="1">
        <v>2014</v>
      </c>
      <c r="B363" s="1">
        <v>2</v>
      </c>
      <c r="C363" s="1">
        <v>15</v>
      </c>
      <c r="D363" s="6">
        <v>2014.12329</v>
      </c>
      <c r="E363" s="2">
        <v>1751.99</v>
      </c>
      <c r="F363" s="3">
        <v>0.72099999999999997</v>
      </c>
      <c r="G363" s="3">
        <v>11.638999999999999</v>
      </c>
      <c r="H363" s="1" t="s">
        <v>9</v>
      </c>
    </row>
    <row r="364" spans="1:8" x14ac:dyDescent="0.3">
      <c r="A364" s="1">
        <v>2014</v>
      </c>
      <c r="B364" s="1">
        <v>3</v>
      </c>
      <c r="C364" s="1">
        <v>15</v>
      </c>
      <c r="D364" s="6">
        <v>2014.2</v>
      </c>
      <c r="E364" s="2">
        <v>1754.53</v>
      </c>
      <c r="F364" s="3">
        <v>1.609</v>
      </c>
      <c r="G364" s="3">
        <v>10.7529</v>
      </c>
      <c r="H364" s="1" t="s">
        <v>9</v>
      </c>
    </row>
    <row r="365" spans="1:8" x14ac:dyDescent="0.3">
      <c r="A365" s="1">
        <v>2014</v>
      </c>
      <c r="B365" s="1">
        <v>4</v>
      </c>
      <c r="C365" s="1">
        <v>15</v>
      </c>
      <c r="D365" s="6">
        <v>2014.28493</v>
      </c>
      <c r="E365" s="2">
        <v>1760.71</v>
      </c>
      <c r="F365" s="3">
        <v>2.254</v>
      </c>
      <c r="G365" s="3">
        <v>11.526999999999999</v>
      </c>
      <c r="H365" s="1" t="s">
        <v>9</v>
      </c>
    </row>
    <row r="366" spans="1:8" x14ac:dyDescent="0.3">
      <c r="A366" s="1">
        <v>2014</v>
      </c>
      <c r="B366" s="1">
        <v>5</v>
      </c>
      <c r="C366" s="1">
        <v>15</v>
      </c>
      <c r="D366" s="6">
        <v>2014.3671200000001</v>
      </c>
      <c r="E366" s="2">
        <v>1769.68</v>
      </c>
      <c r="F366" s="3">
        <v>3.1560000000000001</v>
      </c>
      <c r="G366" s="3">
        <v>12.593999999999999</v>
      </c>
      <c r="H366" s="1" t="s">
        <v>9</v>
      </c>
    </row>
    <row r="367" spans="1:8" x14ac:dyDescent="0.3">
      <c r="A367" s="1">
        <v>2014</v>
      </c>
      <c r="B367" s="1">
        <v>6</v>
      </c>
      <c r="C367" s="1">
        <v>15</v>
      </c>
      <c r="D367" s="6">
        <v>2014.4520500000001</v>
      </c>
      <c r="E367" s="2">
        <v>1779.83</v>
      </c>
      <c r="F367" s="3">
        <v>2.7850000000000001</v>
      </c>
      <c r="G367" s="3">
        <v>13.231</v>
      </c>
      <c r="H367" s="1" t="s">
        <v>9</v>
      </c>
    </row>
    <row r="368" spans="1:8" x14ac:dyDescent="0.3">
      <c r="A368" s="1">
        <v>2014</v>
      </c>
      <c r="B368" s="1">
        <v>7</v>
      </c>
      <c r="C368" s="1">
        <v>15</v>
      </c>
      <c r="D368" s="6">
        <v>2014.5342499999999</v>
      </c>
      <c r="E368" s="2">
        <v>1787.12</v>
      </c>
      <c r="F368" s="3">
        <v>1.752</v>
      </c>
      <c r="G368" s="3">
        <v>13.667999999999999</v>
      </c>
      <c r="H368" s="1" t="s">
        <v>9</v>
      </c>
    </row>
    <row r="369" spans="1:8" x14ac:dyDescent="0.3">
      <c r="A369" s="1">
        <v>2014</v>
      </c>
      <c r="B369" s="1">
        <v>8</v>
      </c>
      <c r="C369" s="1">
        <v>15</v>
      </c>
      <c r="D369" s="6">
        <v>2014.6191799999999</v>
      </c>
      <c r="E369" s="2">
        <v>1791.23</v>
      </c>
      <c r="F369" s="3">
        <v>1.123</v>
      </c>
      <c r="G369" s="3">
        <v>13.2111</v>
      </c>
      <c r="H369" s="1" t="s">
        <v>9</v>
      </c>
    </row>
    <row r="370" spans="1:8" x14ac:dyDescent="0.3">
      <c r="A370" s="1">
        <v>2014</v>
      </c>
      <c r="B370" s="1">
        <v>9</v>
      </c>
      <c r="C370" s="1">
        <v>15</v>
      </c>
      <c r="D370" s="6">
        <v>2014.7041099999999</v>
      </c>
      <c r="E370" s="2">
        <v>1792.61</v>
      </c>
      <c r="F370" s="3">
        <v>0.45200000000000001</v>
      </c>
      <c r="G370" s="3">
        <v>12.645</v>
      </c>
      <c r="H370" s="1" t="s">
        <v>9</v>
      </c>
    </row>
    <row r="371" spans="1:8" x14ac:dyDescent="0.3">
      <c r="A371" s="1">
        <v>2014</v>
      </c>
      <c r="B371" s="1">
        <v>10</v>
      </c>
      <c r="C371" s="1">
        <v>15</v>
      </c>
      <c r="D371" s="6">
        <v>2014.7863</v>
      </c>
      <c r="E371" s="2">
        <v>1791.14</v>
      </c>
      <c r="F371" s="3">
        <v>1.008</v>
      </c>
      <c r="G371" s="3">
        <v>13.013999999999999</v>
      </c>
      <c r="H371" s="1" t="s">
        <v>9</v>
      </c>
    </row>
    <row r="372" spans="1:8" x14ac:dyDescent="0.3">
      <c r="A372" s="1">
        <v>2014</v>
      </c>
      <c r="B372" s="1">
        <v>11</v>
      </c>
      <c r="C372" s="1">
        <v>15</v>
      </c>
      <c r="D372" s="6">
        <v>2014.87123</v>
      </c>
      <c r="E372" s="2">
        <v>1786.62</v>
      </c>
      <c r="F372" s="3">
        <v>1.891</v>
      </c>
      <c r="G372" s="3">
        <v>11.877000000000001</v>
      </c>
      <c r="H372" s="1" t="s">
        <v>9</v>
      </c>
    </row>
    <row r="373" spans="1:8" x14ac:dyDescent="0.3">
      <c r="A373" s="1">
        <v>2014</v>
      </c>
      <c r="B373" s="1">
        <v>12</v>
      </c>
      <c r="C373" s="1">
        <v>15</v>
      </c>
      <c r="D373" s="6">
        <v>2014.9534200000001</v>
      </c>
      <c r="E373" s="2">
        <v>1778.79</v>
      </c>
      <c r="F373" s="3">
        <v>2.7919999999999998</v>
      </c>
      <c r="G373" s="3">
        <v>9.3660899999999998</v>
      </c>
      <c r="H373" s="1" t="s">
        <v>9</v>
      </c>
    </row>
    <row r="374" spans="1:8" x14ac:dyDescent="0.3">
      <c r="A374" s="1">
        <v>2015</v>
      </c>
      <c r="B374" s="1">
        <v>1</v>
      </c>
      <c r="C374" s="1">
        <v>15</v>
      </c>
      <c r="D374" s="6">
        <v>2015.03836</v>
      </c>
      <c r="E374" s="2">
        <v>1769.84</v>
      </c>
      <c r="F374" s="3">
        <v>2.3679999999999999</v>
      </c>
      <c r="G374" s="3">
        <v>8.6949500000000004</v>
      </c>
      <c r="H374" s="1" t="s">
        <v>9</v>
      </c>
    </row>
    <row r="375" spans="1:8" x14ac:dyDescent="0.3">
      <c r="A375" s="1">
        <v>2015</v>
      </c>
      <c r="B375" s="1">
        <v>2</v>
      </c>
      <c r="C375" s="1">
        <v>15</v>
      </c>
      <c r="D375" s="6">
        <v>2015.12329</v>
      </c>
      <c r="E375" s="2">
        <v>1765.2</v>
      </c>
      <c r="F375" s="3">
        <v>0.69399999999999995</v>
      </c>
      <c r="G375" s="3">
        <v>9.3490000000000002</v>
      </c>
      <c r="H375" s="1" t="s">
        <v>9</v>
      </c>
    </row>
    <row r="376" spans="1:8" x14ac:dyDescent="0.3">
      <c r="A376" s="1">
        <v>2015</v>
      </c>
      <c r="B376" s="1">
        <v>3</v>
      </c>
      <c r="C376" s="1">
        <v>15</v>
      </c>
      <c r="D376" s="6">
        <v>2015.2</v>
      </c>
      <c r="E376" s="2">
        <v>1767.17</v>
      </c>
      <c r="F376" s="3">
        <v>1.605</v>
      </c>
      <c r="G376" s="3">
        <v>9.7170400000000008</v>
      </c>
      <c r="H376" s="1" t="s">
        <v>9</v>
      </c>
    </row>
    <row r="377" spans="1:8" x14ac:dyDescent="0.3">
      <c r="A377" s="1">
        <v>2015</v>
      </c>
      <c r="B377" s="1">
        <v>4</v>
      </c>
      <c r="C377" s="1">
        <v>15</v>
      </c>
      <c r="D377" s="6">
        <v>2015.28493</v>
      </c>
      <c r="E377" s="2">
        <v>1773.73</v>
      </c>
      <c r="F377" s="3">
        <v>2.3149999999999999</v>
      </c>
      <c r="G377" s="3">
        <v>9.5100099999999994</v>
      </c>
      <c r="H377" s="1" t="s">
        <v>9</v>
      </c>
    </row>
    <row r="378" spans="1:8" x14ac:dyDescent="0.3">
      <c r="A378" s="1">
        <v>2015</v>
      </c>
      <c r="B378" s="1">
        <v>5</v>
      </c>
      <c r="C378" s="1">
        <v>15</v>
      </c>
      <c r="D378" s="6">
        <v>2015.3671200000001</v>
      </c>
      <c r="E378" s="2">
        <v>1781.56</v>
      </c>
      <c r="F378" s="3">
        <v>2.4390000000000001</v>
      </c>
      <c r="G378" s="3">
        <v>9.3840299999999992</v>
      </c>
      <c r="H378" s="1" t="s">
        <v>9</v>
      </c>
    </row>
    <row r="379" spans="1:8" x14ac:dyDescent="0.3">
      <c r="A379" s="1">
        <v>2015</v>
      </c>
      <c r="B379" s="1">
        <v>6</v>
      </c>
      <c r="C379" s="1">
        <v>15</v>
      </c>
      <c r="D379" s="6">
        <v>2015.4520500000001</v>
      </c>
      <c r="E379" s="2">
        <v>1789.2</v>
      </c>
      <c r="F379" s="3">
        <v>2.2160000000000002</v>
      </c>
      <c r="G379" s="3">
        <v>9.3010300000000008</v>
      </c>
      <c r="H379" s="1" t="s">
        <v>9</v>
      </c>
    </row>
    <row r="380" spans="1:8" x14ac:dyDescent="0.3">
      <c r="A380" s="1">
        <v>2015</v>
      </c>
      <c r="B380" s="1">
        <v>7</v>
      </c>
      <c r="C380" s="1">
        <v>15</v>
      </c>
      <c r="D380" s="6">
        <v>2015.5342499999999</v>
      </c>
      <c r="E380" s="2">
        <v>1795.81</v>
      </c>
      <c r="F380" s="3">
        <v>1.911</v>
      </c>
      <c r="G380" s="3">
        <v>8.9190699999999996</v>
      </c>
      <c r="H380" s="1" t="s">
        <v>9</v>
      </c>
    </row>
    <row r="381" spans="1:8" x14ac:dyDescent="0.3">
      <c r="A381" s="1">
        <v>2015</v>
      </c>
      <c r="B381" s="1">
        <v>8</v>
      </c>
      <c r="C381" s="1">
        <v>15</v>
      </c>
      <c r="D381" s="6">
        <v>2015.6191799999999</v>
      </c>
      <c r="E381" s="2">
        <v>1800.58</v>
      </c>
      <c r="F381" s="3">
        <v>1.296</v>
      </c>
      <c r="G381" s="3">
        <v>9.1769999999999996</v>
      </c>
      <c r="H381" s="1" t="s">
        <v>9</v>
      </c>
    </row>
    <row r="382" spans="1:8" x14ac:dyDescent="0.3">
      <c r="A382" s="1">
        <v>2015</v>
      </c>
      <c r="B382" s="1">
        <v>9</v>
      </c>
      <c r="C382" s="1">
        <v>15</v>
      </c>
      <c r="D382" s="6">
        <v>2015.7041099999999</v>
      </c>
      <c r="E382" s="2">
        <v>1802.33</v>
      </c>
      <c r="F382" s="3">
        <v>0.622</v>
      </c>
      <c r="G382" s="3">
        <v>9.0789799999999996</v>
      </c>
      <c r="H382" s="1" t="s">
        <v>9</v>
      </c>
    </row>
    <row r="383" spans="1:8" x14ac:dyDescent="0.3">
      <c r="A383" s="1">
        <v>2015</v>
      </c>
      <c r="B383" s="1">
        <v>10</v>
      </c>
      <c r="C383" s="1">
        <v>15</v>
      </c>
      <c r="D383" s="6">
        <v>2015.7863</v>
      </c>
      <c r="E383" s="2">
        <v>1800.65</v>
      </c>
      <c r="F383" s="3">
        <v>1.0409999999999999</v>
      </c>
      <c r="G383" s="3">
        <v>7.1009500000000001</v>
      </c>
      <c r="H383" s="1" t="s">
        <v>9</v>
      </c>
    </row>
    <row r="384" spans="1:8" x14ac:dyDescent="0.3">
      <c r="A384" s="1">
        <v>2015</v>
      </c>
      <c r="B384" s="1">
        <v>11</v>
      </c>
      <c r="C384" s="1">
        <v>15</v>
      </c>
      <c r="D384" s="6">
        <v>2015.87123</v>
      </c>
      <c r="E384" s="2">
        <v>1796.01</v>
      </c>
      <c r="F384" s="3">
        <v>1.9430000000000001</v>
      </c>
      <c r="G384" s="3">
        <v>6.3930699999999998</v>
      </c>
      <c r="H384" s="1" t="s">
        <v>9</v>
      </c>
    </row>
    <row r="385" spans="1:8" x14ac:dyDescent="0.3">
      <c r="A385" s="1">
        <v>2015</v>
      </c>
      <c r="B385" s="1">
        <v>12</v>
      </c>
      <c r="C385" s="1">
        <v>15</v>
      </c>
      <c r="D385" s="6">
        <v>2015.9534200000001</v>
      </c>
      <c r="E385" s="2">
        <v>1788.09</v>
      </c>
      <c r="F385" s="3">
        <v>2.899</v>
      </c>
      <c r="G385" s="3">
        <v>7.00793</v>
      </c>
      <c r="H385" s="1" t="s">
        <v>9</v>
      </c>
    </row>
    <row r="386" spans="1:8" x14ac:dyDescent="0.3">
      <c r="A386" s="1">
        <v>2016</v>
      </c>
      <c r="B386" s="1">
        <v>1</v>
      </c>
      <c r="C386" s="1">
        <v>15</v>
      </c>
      <c r="D386" s="6">
        <v>2016.0382500000001</v>
      </c>
      <c r="E386" s="2">
        <v>1778.76</v>
      </c>
      <c r="F386" s="3">
        <v>2.4670000000000001</v>
      </c>
      <c r="G386" s="3">
        <v>5.9680200000000001</v>
      </c>
      <c r="H386" s="1" t="s">
        <v>9</v>
      </c>
    </row>
    <row r="387" spans="1:8" x14ac:dyDescent="0.3">
      <c r="A387" s="1">
        <v>2016</v>
      </c>
      <c r="B387" s="1">
        <v>2</v>
      </c>
      <c r="C387" s="1">
        <v>15</v>
      </c>
      <c r="D387" s="6">
        <v>2016.1229499999999</v>
      </c>
      <c r="E387" s="2">
        <v>1774.38</v>
      </c>
      <c r="F387" s="3">
        <v>0.65300000000000002</v>
      </c>
      <c r="G387" s="3">
        <v>4.78491</v>
      </c>
      <c r="H387" s="1" t="s">
        <v>9</v>
      </c>
    </row>
    <row r="388" spans="1:8" x14ac:dyDescent="0.3">
      <c r="A388" s="1">
        <v>2016</v>
      </c>
      <c r="B388" s="1">
        <v>3</v>
      </c>
      <c r="C388" s="1">
        <v>15</v>
      </c>
      <c r="D388" s="6">
        <v>2016.20219</v>
      </c>
      <c r="E388" s="2">
        <v>1776.25</v>
      </c>
      <c r="F388" s="3">
        <v>1.33</v>
      </c>
      <c r="G388" s="3">
        <v>4.9339599999999999</v>
      </c>
      <c r="H388" s="1" t="s">
        <v>9</v>
      </c>
    </row>
    <row r="389" spans="1:8" x14ac:dyDescent="0.3">
      <c r="A389" s="1">
        <v>2016</v>
      </c>
      <c r="B389" s="1">
        <v>4</v>
      </c>
      <c r="C389" s="1">
        <v>15</v>
      </c>
      <c r="D389" s="6">
        <v>2016.2868900000001</v>
      </c>
      <c r="E389" s="2">
        <v>1780.83</v>
      </c>
      <c r="F389" s="3">
        <v>1.796</v>
      </c>
      <c r="G389" s="3">
        <v>4.7659900000000004</v>
      </c>
      <c r="H389" s="1" t="s">
        <v>9</v>
      </c>
    </row>
    <row r="390" spans="1:8" x14ac:dyDescent="0.3">
      <c r="A390" s="1">
        <v>2016</v>
      </c>
      <c r="B390" s="1">
        <v>5</v>
      </c>
      <c r="C390" s="1">
        <v>15</v>
      </c>
      <c r="D390" s="6">
        <v>2016.3688500000001</v>
      </c>
      <c r="E390" s="2">
        <v>1787.95</v>
      </c>
      <c r="F390" s="3">
        <v>2.6269999999999998</v>
      </c>
      <c r="G390" s="3">
        <v>3.0329600000000001</v>
      </c>
      <c r="H390" s="1" t="s">
        <v>9</v>
      </c>
    </row>
    <row r="391" spans="1:8" x14ac:dyDescent="0.3">
      <c r="A391" s="1">
        <v>2016</v>
      </c>
      <c r="B391" s="1">
        <v>6</v>
      </c>
      <c r="C391" s="1">
        <v>15</v>
      </c>
      <c r="D391" s="6">
        <v>2016.45355</v>
      </c>
      <c r="E391" s="2">
        <v>1796.21</v>
      </c>
      <c r="F391" s="3">
        <v>2.1920000000000002</v>
      </c>
      <c r="G391" s="3">
        <v>1.4150400000000001</v>
      </c>
      <c r="H391" s="1" t="s">
        <v>9</v>
      </c>
    </row>
    <row r="392" spans="1:8" x14ac:dyDescent="0.3">
      <c r="A392" s="1">
        <v>2016</v>
      </c>
      <c r="B392" s="1">
        <v>7</v>
      </c>
      <c r="C392" s="1">
        <v>15</v>
      </c>
      <c r="D392" s="6">
        <v>2016.5355199999999</v>
      </c>
      <c r="E392" s="2">
        <v>1801.78</v>
      </c>
      <c r="F392" s="3">
        <v>1.429</v>
      </c>
      <c r="G392" s="3">
        <v>1.66296</v>
      </c>
      <c r="H392" s="1" t="s">
        <v>9</v>
      </c>
    </row>
    <row r="393" spans="1:8" x14ac:dyDescent="0.3">
      <c r="A393" s="1">
        <v>2016</v>
      </c>
      <c r="B393" s="1">
        <v>8</v>
      </c>
      <c r="C393" s="1">
        <v>15</v>
      </c>
      <c r="D393" s="6">
        <v>2016.62022</v>
      </c>
      <c r="E393" s="2">
        <v>1805.37</v>
      </c>
      <c r="F393" s="3">
        <v>1.085</v>
      </c>
      <c r="G393" s="3">
        <v>2.2600099999999999</v>
      </c>
      <c r="H393" s="1" t="s">
        <v>9</v>
      </c>
    </row>
    <row r="394" spans="1:8" x14ac:dyDescent="0.3">
      <c r="A394" s="1">
        <v>2016</v>
      </c>
      <c r="B394" s="1">
        <v>9</v>
      </c>
      <c r="C394" s="1">
        <v>15</v>
      </c>
      <c r="D394" s="6">
        <v>2016.7049199999999</v>
      </c>
      <c r="E394" s="2">
        <v>1807.27</v>
      </c>
      <c r="F394" s="3">
        <v>0.69299999999999995</v>
      </c>
      <c r="G394" s="3">
        <v>1.6950700000000001</v>
      </c>
      <c r="H394" s="1" t="s">
        <v>9</v>
      </c>
    </row>
    <row r="395" spans="1:8" x14ac:dyDescent="0.3">
      <c r="A395" s="1">
        <v>2016</v>
      </c>
      <c r="B395" s="1">
        <v>10</v>
      </c>
      <c r="C395" s="1">
        <v>15</v>
      </c>
      <c r="D395" s="6">
        <v>2016.7868900000001</v>
      </c>
      <c r="E395" s="2">
        <v>1805.42</v>
      </c>
      <c r="F395" s="3">
        <v>1.3560000000000001</v>
      </c>
      <c r="G395" s="3">
        <v>2.61707</v>
      </c>
      <c r="H395" s="1" t="s">
        <v>9</v>
      </c>
    </row>
    <row r="396" spans="1:8" x14ac:dyDescent="0.3">
      <c r="A396" s="1">
        <v>2016</v>
      </c>
      <c r="B396" s="1">
        <v>11</v>
      </c>
      <c r="C396" s="1">
        <v>15</v>
      </c>
      <c r="D396" s="6">
        <v>2016.87158</v>
      </c>
      <c r="E396" s="2">
        <v>1799.04</v>
      </c>
      <c r="F396" s="3">
        <v>2.5270000000000001</v>
      </c>
      <c r="G396" s="3">
        <v>5.4349400000000001</v>
      </c>
      <c r="H396" s="1" t="s">
        <v>9</v>
      </c>
    </row>
    <row r="397" spans="1:8" x14ac:dyDescent="0.3">
      <c r="A397" s="1">
        <v>2016</v>
      </c>
      <c r="B397" s="1">
        <v>12</v>
      </c>
      <c r="C397" s="1">
        <v>15</v>
      </c>
      <c r="D397" s="6">
        <v>2016.95355</v>
      </c>
      <c r="E397" s="2">
        <v>1789.51</v>
      </c>
      <c r="F397" s="3">
        <v>3.1419999999999999</v>
      </c>
      <c r="G397" s="3">
        <v>7.0329600000000001</v>
      </c>
      <c r="H397" s="1" t="s">
        <v>9</v>
      </c>
    </row>
    <row r="398" spans="1:8" x14ac:dyDescent="0.3">
      <c r="A398" s="1">
        <v>2017</v>
      </c>
      <c r="B398" s="1">
        <v>1</v>
      </c>
      <c r="C398" s="1">
        <v>15</v>
      </c>
      <c r="D398" s="6">
        <v>2017.03836</v>
      </c>
      <c r="E398" s="2">
        <v>1780.42</v>
      </c>
      <c r="F398" s="3">
        <v>2.2130000000000001</v>
      </c>
      <c r="G398" s="3">
        <v>8.2650100000000002</v>
      </c>
      <c r="H398" s="1" t="s">
        <v>9</v>
      </c>
    </row>
    <row r="399" spans="1:8" x14ac:dyDescent="0.3">
      <c r="A399" s="1">
        <v>2017</v>
      </c>
      <c r="B399" s="1">
        <v>2</v>
      </c>
      <c r="C399" s="1">
        <v>15</v>
      </c>
      <c r="D399" s="6">
        <v>2017.12329</v>
      </c>
      <c r="E399" s="2">
        <v>1776.64</v>
      </c>
      <c r="F399" s="3">
        <v>0.65300000000000002</v>
      </c>
      <c r="G399" s="3">
        <v>9.46204</v>
      </c>
      <c r="H399" s="1" t="s">
        <v>9</v>
      </c>
    </row>
    <row r="400" spans="1:8" x14ac:dyDescent="0.3">
      <c r="A400" s="1">
        <v>2017</v>
      </c>
      <c r="B400" s="1">
        <v>3</v>
      </c>
      <c r="C400" s="1">
        <v>15</v>
      </c>
      <c r="D400" s="6">
        <v>2017.2</v>
      </c>
      <c r="E400" s="2">
        <v>1777.95</v>
      </c>
      <c r="F400" s="3">
        <v>1.206</v>
      </c>
      <c r="G400" s="3">
        <v>9.3590099999999996</v>
      </c>
      <c r="H400" s="1" t="s">
        <v>9</v>
      </c>
    </row>
    <row r="401" spans="1:8" x14ac:dyDescent="0.3">
      <c r="A401" s="1">
        <v>2017</v>
      </c>
      <c r="B401" s="1">
        <v>4</v>
      </c>
      <c r="C401" s="1">
        <v>15</v>
      </c>
      <c r="D401" s="6">
        <v>2017.28493</v>
      </c>
      <c r="E401" s="2">
        <v>1783.45</v>
      </c>
      <c r="F401" s="3">
        <v>2.4329999999999998</v>
      </c>
      <c r="G401" s="3">
        <v>9.4749800000000004</v>
      </c>
      <c r="H401" s="1" t="s">
        <v>9</v>
      </c>
    </row>
    <row r="402" spans="1:8" x14ac:dyDescent="0.3">
      <c r="A402" s="1">
        <v>2017</v>
      </c>
      <c r="B402" s="1">
        <v>5</v>
      </c>
      <c r="C402" s="1">
        <v>15</v>
      </c>
      <c r="D402" s="6">
        <v>2017.3671200000001</v>
      </c>
      <c r="E402" s="2">
        <v>1793.39</v>
      </c>
      <c r="F402" s="3">
        <v>3.36</v>
      </c>
      <c r="G402" s="3">
        <v>10.7629</v>
      </c>
      <c r="H402" s="1" t="s">
        <v>9</v>
      </c>
    </row>
    <row r="403" spans="1:8" x14ac:dyDescent="0.3">
      <c r="A403" s="1">
        <v>2017</v>
      </c>
      <c r="B403" s="1">
        <v>6</v>
      </c>
      <c r="C403" s="1">
        <v>15</v>
      </c>
      <c r="D403" s="6">
        <v>2017.4520500000001</v>
      </c>
      <c r="E403" s="2">
        <v>1803.24</v>
      </c>
      <c r="F403" s="3">
        <v>2.5430000000000001</v>
      </c>
      <c r="G403" s="3">
        <v>11.819000000000001</v>
      </c>
      <c r="H403" s="1" t="s">
        <v>9</v>
      </c>
    </row>
    <row r="404" spans="1:8" x14ac:dyDescent="0.3">
      <c r="A404" s="1">
        <v>2017</v>
      </c>
      <c r="B404" s="1">
        <v>7</v>
      </c>
      <c r="C404" s="1">
        <v>15</v>
      </c>
      <c r="D404" s="6">
        <v>2017.5342499999999</v>
      </c>
      <c r="E404" s="2">
        <v>1810.05</v>
      </c>
      <c r="F404" s="3">
        <v>1.833</v>
      </c>
      <c r="G404" s="3">
        <v>12.14</v>
      </c>
      <c r="H404" s="1" t="s">
        <v>9</v>
      </c>
    </row>
    <row r="405" spans="1:8" x14ac:dyDescent="0.3">
      <c r="A405" s="1">
        <v>2017</v>
      </c>
      <c r="B405" s="1">
        <v>8</v>
      </c>
      <c r="C405" s="1">
        <v>15</v>
      </c>
      <c r="D405" s="6">
        <v>2017.6191799999999</v>
      </c>
      <c r="E405" s="2">
        <v>1814.83</v>
      </c>
      <c r="F405" s="3">
        <v>1.198</v>
      </c>
      <c r="G405" s="3">
        <v>12.111000000000001</v>
      </c>
      <c r="H405" s="1" t="s">
        <v>9</v>
      </c>
    </row>
    <row r="406" spans="1:8" x14ac:dyDescent="0.3">
      <c r="A406" s="1">
        <v>2017</v>
      </c>
      <c r="B406" s="1">
        <v>9</v>
      </c>
      <c r="C406" s="1">
        <v>15</v>
      </c>
      <c r="D406" s="6">
        <v>2017.7041099999999</v>
      </c>
      <c r="E406" s="2">
        <v>1816.63</v>
      </c>
      <c r="F406" s="3">
        <v>0.54600000000000004</v>
      </c>
      <c r="G406" s="3">
        <v>12.153</v>
      </c>
      <c r="H406" s="1" t="s">
        <v>9</v>
      </c>
    </row>
    <row r="407" spans="1:8" x14ac:dyDescent="0.3">
      <c r="A407" s="1">
        <v>2017</v>
      </c>
      <c r="B407" s="1">
        <v>10</v>
      </c>
      <c r="C407" s="1">
        <v>15</v>
      </c>
      <c r="D407" s="6">
        <v>2017.7863</v>
      </c>
      <c r="E407" s="2">
        <v>1814.89</v>
      </c>
      <c r="F407" s="3">
        <v>1.31</v>
      </c>
      <c r="G407" s="3">
        <v>12.758900000000001</v>
      </c>
      <c r="H407" s="1" t="s">
        <v>9</v>
      </c>
    </row>
    <row r="408" spans="1:8" x14ac:dyDescent="0.3">
      <c r="A408" s="1">
        <v>2017</v>
      </c>
      <c r="B408" s="1">
        <v>11</v>
      </c>
      <c r="C408" s="1">
        <v>15</v>
      </c>
      <c r="D408" s="6">
        <v>2017.87123</v>
      </c>
      <c r="E408" s="2">
        <v>1809.8</v>
      </c>
      <c r="F408" s="3">
        <v>2.15</v>
      </c>
      <c r="G408" s="3">
        <v>12.742100000000001</v>
      </c>
      <c r="H408" s="1" t="s">
        <v>9</v>
      </c>
    </row>
    <row r="409" spans="1:8" x14ac:dyDescent="0.3">
      <c r="A409" s="1">
        <v>2017</v>
      </c>
      <c r="B409" s="1">
        <v>12</v>
      </c>
      <c r="C409" s="1">
        <v>15</v>
      </c>
      <c r="D409" s="6">
        <v>2017.9534200000001</v>
      </c>
      <c r="E409" s="2">
        <v>1801.33</v>
      </c>
      <c r="F409" s="3">
        <v>2.9460000000000002</v>
      </c>
      <c r="G409" s="3">
        <v>11.620100000000001</v>
      </c>
      <c r="H409" s="1" t="s">
        <v>9</v>
      </c>
    </row>
    <row r="410" spans="1:8" x14ac:dyDescent="0.3">
      <c r="A410" s="1">
        <v>2018</v>
      </c>
      <c r="B410" s="1">
        <v>1</v>
      </c>
      <c r="C410" s="1">
        <v>15</v>
      </c>
      <c r="D410" s="6">
        <v>2018.03836</v>
      </c>
      <c r="E410" s="2">
        <v>1792.56</v>
      </c>
      <c r="F410" s="3">
        <v>2.1619999999999999</v>
      </c>
      <c r="G410" s="3">
        <v>10.869</v>
      </c>
      <c r="H410" s="1" t="s">
        <v>9</v>
      </c>
    </row>
    <row r="411" spans="1:8" x14ac:dyDescent="0.3">
      <c r="A411" s="1">
        <v>2018</v>
      </c>
      <c r="B411" s="1">
        <v>2</v>
      </c>
      <c r="C411" s="1">
        <v>15</v>
      </c>
      <c r="D411" s="6">
        <v>2018.12329</v>
      </c>
      <c r="E411" s="2">
        <v>1788.75</v>
      </c>
      <c r="F411" s="3">
        <v>0.67700000000000005</v>
      </c>
      <c r="G411" s="3">
        <v>11.105</v>
      </c>
      <c r="H411" s="1" t="s">
        <v>9</v>
      </c>
    </row>
    <row r="412" spans="1:8" x14ac:dyDescent="0.3">
      <c r="A412" s="1">
        <v>2018</v>
      </c>
      <c r="B412" s="1">
        <v>3</v>
      </c>
      <c r="C412" s="1">
        <v>15</v>
      </c>
      <c r="D412" s="6">
        <v>2018.2</v>
      </c>
      <c r="E412" s="2">
        <v>1790.1</v>
      </c>
      <c r="F412" s="3">
        <v>1.222</v>
      </c>
      <c r="G412" s="3">
        <v>11.494999999999999</v>
      </c>
      <c r="H412" s="1" t="s">
        <v>9</v>
      </c>
    </row>
    <row r="413" spans="1:8" x14ac:dyDescent="0.3">
      <c r="A413" s="1">
        <v>2018</v>
      </c>
      <c r="B413" s="1">
        <v>4</v>
      </c>
      <c r="C413" s="1">
        <v>15</v>
      </c>
      <c r="D413" s="6">
        <v>2018.28493</v>
      </c>
      <c r="E413" s="2">
        <v>1796.2</v>
      </c>
      <c r="F413" s="3">
        <v>2.6080000000000001</v>
      </c>
      <c r="G413" s="3">
        <v>11.1791</v>
      </c>
      <c r="H413" s="1" t="s">
        <v>9</v>
      </c>
    </row>
    <row r="414" spans="1:8" x14ac:dyDescent="0.3">
      <c r="A414" s="1">
        <v>2018</v>
      </c>
      <c r="B414" s="1">
        <v>5</v>
      </c>
      <c r="C414" s="1">
        <v>15</v>
      </c>
      <c r="D414" s="6">
        <v>2018.3671200000001</v>
      </c>
      <c r="E414" s="2">
        <v>1806.13</v>
      </c>
      <c r="F414" s="3">
        <v>3.1659999999999999</v>
      </c>
      <c r="G414" s="3">
        <v>10.082000000000001</v>
      </c>
      <c r="H414" s="1" t="s">
        <v>9</v>
      </c>
    </row>
    <row r="415" spans="1:8" x14ac:dyDescent="0.3">
      <c r="A415" s="1">
        <v>2018</v>
      </c>
      <c r="B415" s="1">
        <v>6</v>
      </c>
      <c r="C415" s="1">
        <v>15</v>
      </c>
      <c r="D415" s="6">
        <v>2018.4520500000001</v>
      </c>
      <c r="E415" s="2">
        <v>1814.86</v>
      </c>
      <c r="F415" s="3">
        <v>2.093</v>
      </c>
      <c r="G415" s="3">
        <v>9.0939899999999998</v>
      </c>
      <c r="H415" s="1" t="s">
        <v>9</v>
      </c>
    </row>
    <row r="416" spans="1:8" x14ac:dyDescent="0.3">
      <c r="A416" s="1">
        <v>2018</v>
      </c>
      <c r="B416" s="1">
        <v>7</v>
      </c>
      <c r="C416" s="1">
        <v>15</v>
      </c>
      <c r="D416" s="6">
        <v>2018.5342499999999</v>
      </c>
      <c r="E416" s="2">
        <v>1820.92</v>
      </c>
      <c r="F416" s="3">
        <v>1.798</v>
      </c>
      <c r="G416" s="3">
        <v>8.6679700000000004</v>
      </c>
      <c r="H416" s="1" t="s">
        <v>9</v>
      </c>
    </row>
    <row r="417" spans="1:8" x14ac:dyDescent="0.3">
      <c r="A417" s="1">
        <v>2018</v>
      </c>
      <c r="B417" s="1">
        <v>8</v>
      </c>
      <c r="C417" s="1">
        <v>15</v>
      </c>
      <c r="D417" s="6">
        <v>2018.6191799999999</v>
      </c>
      <c r="E417" s="2">
        <v>1825.93</v>
      </c>
      <c r="F417" s="3">
        <v>1.329</v>
      </c>
      <c r="G417" s="3">
        <v>8.3880599999999994</v>
      </c>
      <c r="H417" s="1" t="s">
        <v>9</v>
      </c>
    </row>
    <row r="418" spans="1:8" x14ac:dyDescent="0.3">
      <c r="A418" s="1">
        <v>2018</v>
      </c>
      <c r="B418" s="1">
        <v>9</v>
      </c>
      <c r="C418" s="1">
        <v>15</v>
      </c>
      <c r="D418" s="6">
        <v>2018.7041099999999</v>
      </c>
      <c r="E418" s="2">
        <v>1828.12</v>
      </c>
      <c r="F418" s="3">
        <v>0.497</v>
      </c>
      <c r="G418" s="3">
        <v>7.9060100000000002</v>
      </c>
      <c r="H418" s="1" t="s">
        <v>9</v>
      </c>
    </row>
    <row r="419" spans="1:8" x14ac:dyDescent="0.3">
      <c r="A419" s="1">
        <v>2018</v>
      </c>
      <c r="B419" s="1">
        <v>10</v>
      </c>
      <c r="C419" s="1">
        <v>15</v>
      </c>
      <c r="D419" s="6">
        <v>2018.7863</v>
      </c>
      <c r="E419" s="2">
        <v>1826.07</v>
      </c>
      <c r="F419" s="3">
        <v>1.343</v>
      </c>
      <c r="G419" s="3">
        <v>6.60107</v>
      </c>
      <c r="H419" s="1" t="s">
        <v>9</v>
      </c>
    </row>
    <row r="420" spans="1:8" x14ac:dyDescent="0.3">
      <c r="A420" s="1">
        <v>2018</v>
      </c>
      <c r="B420" s="1">
        <v>11</v>
      </c>
      <c r="C420" s="1">
        <v>15</v>
      </c>
      <c r="D420" s="6">
        <v>2018.87123</v>
      </c>
      <c r="E420" s="2">
        <v>1819.89</v>
      </c>
      <c r="F420" s="3">
        <v>2.4649999999999999</v>
      </c>
      <c r="G420" s="3">
        <v>4.3869600000000002</v>
      </c>
      <c r="H420" s="1" t="s">
        <v>9</v>
      </c>
    </row>
    <row r="421" spans="1:8" x14ac:dyDescent="0.3">
      <c r="A421" s="1">
        <v>2018</v>
      </c>
      <c r="B421" s="1">
        <v>12</v>
      </c>
      <c r="C421" s="1">
        <v>15</v>
      </c>
      <c r="D421" s="6">
        <v>2018.9534200000001</v>
      </c>
      <c r="E421" s="2">
        <v>1810.42</v>
      </c>
      <c r="F421" s="3">
        <v>3.1309999999999998</v>
      </c>
      <c r="G421" s="3">
        <v>3.7059299999999999</v>
      </c>
      <c r="H421" s="1" t="s">
        <v>9</v>
      </c>
    </row>
    <row r="422" spans="1:8" x14ac:dyDescent="0.3">
      <c r="A422" s="1">
        <v>2019</v>
      </c>
      <c r="B422" s="1">
        <v>1</v>
      </c>
      <c r="C422" s="1">
        <v>15</v>
      </c>
      <c r="D422" s="6">
        <v>2019.03836</v>
      </c>
      <c r="E422" s="2">
        <v>1801.23</v>
      </c>
      <c r="F422" s="3">
        <v>2.2269999999999999</v>
      </c>
      <c r="G422" s="3">
        <v>4.74695</v>
      </c>
      <c r="H422" s="1" t="s">
        <v>9</v>
      </c>
    </row>
    <row r="423" spans="1:8" x14ac:dyDescent="0.3">
      <c r="A423" s="1">
        <v>2019</v>
      </c>
      <c r="B423" s="1">
        <v>2</v>
      </c>
      <c r="C423" s="1">
        <v>15</v>
      </c>
      <c r="D423" s="6">
        <v>2019.12329</v>
      </c>
      <c r="E423" s="2">
        <v>1797.14</v>
      </c>
      <c r="F423" s="3">
        <v>0.66400000000000003</v>
      </c>
      <c r="G423" s="3">
        <v>5.21204</v>
      </c>
      <c r="H423" s="1" t="s">
        <v>9</v>
      </c>
    </row>
    <row r="424" spans="1:8" x14ac:dyDescent="0.3">
      <c r="A424" s="1">
        <v>2019</v>
      </c>
      <c r="B424" s="1">
        <v>3</v>
      </c>
      <c r="C424" s="1">
        <v>15</v>
      </c>
      <c r="D424" s="6">
        <v>2019.2</v>
      </c>
      <c r="E424" s="2">
        <v>1798.01</v>
      </c>
      <c r="F424" s="3">
        <v>1.1040000000000001</v>
      </c>
      <c r="G424" s="3">
        <v>4.92896</v>
      </c>
      <c r="H424" s="1" t="s">
        <v>9</v>
      </c>
    </row>
    <row r="425" spans="1:8" x14ac:dyDescent="0.3">
      <c r="A425" s="1">
        <v>2019</v>
      </c>
      <c r="B425" s="1">
        <v>4</v>
      </c>
      <c r="C425" s="1">
        <v>15</v>
      </c>
      <c r="D425" s="6">
        <v>2019.28493</v>
      </c>
      <c r="E425" s="2">
        <v>1802.81</v>
      </c>
      <c r="F425" s="3">
        <v>2.0449999999999999</v>
      </c>
      <c r="G425" s="3">
        <v>5.2850299999999999</v>
      </c>
      <c r="H425" s="1" t="s">
        <v>9</v>
      </c>
    </row>
    <row r="426" spans="1:8" x14ac:dyDescent="0.3">
      <c r="A426" s="1">
        <v>2019</v>
      </c>
      <c r="B426" s="1">
        <v>5</v>
      </c>
      <c r="C426" s="1">
        <v>15</v>
      </c>
      <c r="D426" s="6">
        <v>2019.3671200000001</v>
      </c>
      <c r="E426" s="2">
        <v>1810.52</v>
      </c>
      <c r="F426" s="3">
        <v>2.6059999999999999</v>
      </c>
      <c r="G426" s="3">
        <v>6.1290300000000002</v>
      </c>
      <c r="H426" s="1" t="s">
        <v>9</v>
      </c>
    </row>
    <row r="427" spans="1:8" x14ac:dyDescent="0.3">
      <c r="A427" s="1">
        <v>2019</v>
      </c>
      <c r="B427" s="1">
        <v>6</v>
      </c>
      <c r="C427" s="1">
        <v>15</v>
      </c>
      <c r="D427" s="6">
        <v>2019.4520500000001</v>
      </c>
      <c r="E427" s="2">
        <v>1818.57</v>
      </c>
      <c r="F427" s="3">
        <v>2.302</v>
      </c>
      <c r="G427" s="3">
        <v>6.4110100000000001</v>
      </c>
      <c r="H427" s="1" t="s">
        <v>9</v>
      </c>
    </row>
    <row r="428" spans="1:8" x14ac:dyDescent="0.3">
      <c r="A428" s="1">
        <v>2019</v>
      </c>
      <c r="B428" s="1">
        <v>7</v>
      </c>
      <c r="C428" s="1">
        <v>15</v>
      </c>
      <c r="D428" s="6">
        <v>2019.5342499999999</v>
      </c>
      <c r="E428" s="2">
        <v>1825.66</v>
      </c>
      <c r="F428" s="3">
        <v>2.0489999999999999</v>
      </c>
      <c r="G428" s="3">
        <v>6.1110800000000003</v>
      </c>
      <c r="H428" s="1" t="s">
        <v>9</v>
      </c>
    </row>
    <row r="429" spans="1:8" x14ac:dyDescent="0.3">
      <c r="A429" s="1">
        <v>2019</v>
      </c>
      <c r="B429" s="1">
        <v>8</v>
      </c>
      <c r="C429" s="1">
        <v>15</v>
      </c>
      <c r="D429" s="6">
        <v>2019.6191799999999</v>
      </c>
      <c r="E429" s="2">
        <v>1831.15</v>
      </c>
      <c r="F429" s="3">
        <v>1.3009999999999999</v>
      </c>
      <c r="G429" s="3">
        <v>5.8499800000000004</v>
      </c>
      <c r="H429" s="1" t="s">
        <v>9</v>
      </c>
    </row>
    <row r="430" spans="1:8" x14ac:dyDescent="0.3">
      <c r="A430" s="1">
        <v>2019</v>
      </c>
      <c r="B430" s="1">
        <v>9</v>
      </c>
      <c r="C430" s="1">
        <v>15</v>
      </c>
      <c r="D430" s="6">
        <v>2019.7041099999999</v>
      </c>
      <c r="E430" s="2">
        <v>1833.05</v>
      </c>
      <c r="F430" s="3">
        <v>0.377</v>
      </c>
      <c r="G430" s="3">
        <v>6.4079600000000001</v>
      </c>
      <c r="H430" s="1" t="s">
        <v>9</v>
      </c>
    </row>
    <row r="431" spans="1:8" x14ac:dyDescent="0.3">
      <c r="A431" s="1">
        <v>2019</v>
      </c>
      <c r="B431" s="1">
        <v>10</v>
      </c>
      <c r="C431" s="1">
        <v>15</v>
      </c>
      <c r="D431" s="6">
        <v>2019.7863</v>
      </c>
      <c r="E431" s="2">
        <v>1831.36</v>
      </c>
      <c r="F431" s="3">
        <v>1.143</v>
      </c>
      <c r="G431" s="3">
        <v>6.5289299999999999</v>
      </c>
      <c r="H431" s="1" t="s">
        <v>9</v>
      </c>
    </row>
    <row r="432" spans="1:8" x14ac:dyDescent="0.3">
      <c r="A432" s="1">
        <v>2019</v>
      </c>
      <c r="B432" s="1">
        <v>11</v>
      </c>
      <c r="C432" s="1">
        <v>15</v>
      </c>
      <c r="D432" s="6">
        <v>2019.87123</v>
      </c>
      <c r="E432" s="2">
        <v>1826.02</v>
      </c>
      <c r="F432" s="3">
        <v>2.302</v>
      </c>
      <c r="G432" s="3">
        <v>6.5689700000000002</v>
      </c>
      <c r="H432" s="1" t="s">
        <v>9</v>
      </c>
    </row>
    <row r="433" spans="1:8" x14ac:dyDescent="0.3">
      <c r="A433" s="1">
        <v>2019</v>
      </c>
      <c r="B433" s="1">
        <v>12</v>
      </c>
      <c r="C433" s="1">
        <v>15</v>
      </c>
      <c r="D433" s="6">
        <v>2019.9534200000001</v>
      </c>
      <c r="E433" s="2">
        <v>1816.83</v>
      </c>
      <c r="F433" s="3">
        <v>3.1589999999999998</v>
      </c>
      <c r="G433" s="3">
        <v>7.80396</v>
      </c>
      <c r="H433" s="1" t="s">
        <v>9</v>
      </c>
    </row>
    <row r="434" spans="1:8" x14ac:dyDescent="0.3">
      <c r="A434" s="1">
        <v>2020</v>
      </c>
      <c r="B434" s="1">
        <v>1</v>
      </c>
      <c r="C434" s="1">
        <v>15</v>
      </c>
      <c r="D434" s="6">
        <v>2020.0382500000001</v>
      </c>
      <c r="E434" s="2">
        <v>1807.34</v>
      </c>
      <c r="F434" s="3">
        <v>2.3879999999999999</v>
      </c>
      <c r="G434" s="3">
        <v>8.6311</v>
      </c>
      <c r="H434" s="1" t="s">
        <v>9</v>
      </c>
    </row>
    <row r="435" spans="1:8" x14ac:dyDescent="0.3">
      <c r="A435" s="1">
        <v>2020</v>
      </c>
      <c r="B435" s="1">
        <v>2</v>
      </c>
      <c r="C435" s="1">
        <v>15</v>
      </c>
      <c r="D435" s="6">
        <v>2020.1229499999999</v>
      </c>
      <c r="E435" s="2">
        <v>1802.99</v>
      </c>
      <c r="F435" s="3">
        <v>0.77800000000000002</v>
      </c>
      <c r="G435" s="3">
        <v>8.6720000000000006</v>
      </c>
      <c r="H435" s="1" t="s">
        <v>9</v>
      </c>
    </row>
    <row r="436" spans="1:8" x14ac:dyDescent="0.3">
      <c r="A436" s="1">
        <v>2020</v>
      </c>
      <c r="B436" s="1">
        <v>3</v>
      </c>
      <c r="C436" s="1">
        <v>15</v>
      </c>
      <c r="D436" s="6">
        <v>2020.20219</v>
      </c>
      <c r="E436" s="2">
        <v>1804.41</v>
      </c>
      <c r="F436" s="3">
        <v>1.2050000000000001</v>
      </c>
      <c r="G436" s="3">
        <v>9.4370100000000008</v>
      </c>
      <c r="H436" s="1" t="s">
        <v>9</v>
      </c>
    </row>
    <row r="437" spans="1:8" x14ac:dyDescent="0.3">
      <c r="A437" s="1">
        <v>2020</v>
      </c>
      <c r="B437" s="1">
        <v>4</v>
      </c>
      <c r="C437" s="1">
        <v>15</v>
      </c>
      <c r="D437" s="6">
        <v>2020.2868900000001</v>
      </c>
      <c r="E437" s="2">
        <v>1809.33</v>
      </c>
      <c r="F437" s="3">
        <v>1.9410000000000001</v>
      </c>
      <c r="G437" s="3">
        <v>10.413</v>
      </c>
      <c r="H437" s="1" t="s">
        <v>9</v>
      </c>
    </row>
    <row r="438" spans="1:8" x14ac:dyDescent="0.3">
      <c r="A438" s="1">
        <v>2020</v>
      </c>
      <c r="B438" s="1">
        <v>5</v>
      </c>
      <c r="C438" s="1">
        <v>15</v>
      </c>
      <c r="D438" s="6">
        <v>2020.3688500000001</v>
      </c>
      <c r="E438" s="2">
        <v>1817.08</v>
      </c>
      <c r="F438" s="3">
        <v>2.7959999999999998</v>
      </c>
      <c r="G438" s="3">
        <v>11.494</v>
      </c>
      <c r="H438" s="1" t="s">
        <v>9</v>
      </c>
    </row>
    <row r="439" spans="1:8" x14ac:dyDescent="0.3">
      <c r="A439" s="1">
        <v>2020</v>
      </c>
      <c r="B439" s="1">
        <v>6</v>
      </c>
      <c r="C439" s="1">
        <v>15</v>
      </c>
      <c r="D439" s="6">
        <v>2020.45355</v>
      </c>
      <c r="E439" s="2">
        <v>1826.37</v>
      </c>
      <c r="F439" s="3">
        <v>2.7349999999999999</v>
      </c>
      <c r="G439" s="3">
        <v>12.561999999999999</v>
      </c>
      <c r="H439" s="1" t="s">
        <v>9</v>
      </c>
    </row>
    <row r="440" spans="1:8" x14ac:dyDescent="0.3">
      <c r="A440" s="1">
        <v>2020</v>
      </c>
      <c r="B440" s="1">
        <v>7</v>
      </c>
      <c r="C440" s="1">
        <v>15</v>
      </c>
      <c r="D440" s="6">
        <v>2020.5355199999999</v>
      </c>
      <c r="E440" s="2">
        <v>1834.3</v>
      </c>
      <c r="F440" s="3">
        <v>2.093</v>
      </c>
      <c r="G440" s="3">
        <v>12.799899999999999</v>
      </c>
      <c r="H440" s="1" t="s">
        <v>9</v>
      </c>
    </row>
    <row r="441" spans="1:8" x14ac:dyDescent="0.3">
      <c r="A441" s="1">
        <v>2020</v>
      </c>
      <c r="B441" s="1">
        <v>8</v>
      </c>
      <c r="C441" s="1">
        <v>15</v>
      </c>
      <c r="D441" s="6">
        <v>2020.62022</v>
      </c>
      <c r="E441" s="2">
        <v>1839.82</v>
      </c>
      <c r="F441" s="3">
        <v>1.3480000000000001</v>
      </c>
      <c r="G441" s="3">
        <v>13.52</v>
      </c>
      <c r="H441" s="1" t="s">
        <v>9</v>
      </c>
    </row>
    <row r="442" spans="1:8" x14ac:dyDescent="0.3">
      <c r="A442" s="1">
        <v>2020</v>
      </c>
      <c r="B442" s="1">
        <v>9</v>
      </c>
      <c r="C442" s="1">
        <v>15</v>
      </c>
      <c r="D442" s="6">
        <v>2020.7049199999999</v>
      </c>
      <c r="E442" s="2">
        <v>1842.49</v>
      </c>
      <c r="F442" s="3">
        <v>0.55800000000000005</v>
      </c>
      <c r="G442" s="3">
        <v>15.761100000000001</v>
      </c>
      <c r="H442" s="1" t="s">
        <v>9</v>
      </c>
    </row>
    <row r="443" spans="1:8" x14ac:dyDescent="0.3">
      <c r="A443" s="1">
        <v>2020</v>
      </c>
      <c r="B443" s="1">
        <v>10</v>
      </c>
      <c r="C443" s="1">
        <v>15</v>
      </c>
      <c r="D443" s="6">
        <v>2020.7868900000001</v>
      </c>
      <c r="E443" s="2">
        <v>1841.77</v>
      </c>
      <c r="F443" s="3">
        <v>0.95299999999999996</v>
      </c>
      <c r="G443" s="3">
        <v>17.661000000000001</v>
      </c>
      <c r="H443" s="1" t="s">
        <v>9</v>
      </c>
    </row>
    <row r="444" spans="1:8" x14ac:dyDescent="0.3">
      <c r="A444" s="1">
        <v>2020</v>
      </c>
      <c r="B444" s="1">
        <v>11</v>
      </c>
      <c r="C444" s="1">
        <v>15</v>
      </c>
      <c r="D444" s="6">
        <v>2020.87158</v>
      </c>
      <c r="E444" s="2">
        <v>1837.51</v>
      </c>
      <c r="F444" s="3">
        <v>1.8680000000000001</v>
      </c>
      <c r="G444" s="3">
        <v>17.606100000000001</v>
      </c>
      <c r="H444" s="1" t="s">
        <v>9</v>
      </c>
    </row>
    <row r="445" spans="1:8" x14ac:dyDescent="0.3">
      <c r="A445" s="1">
        <v>2020</v>
      </c>
      <c r="B445" s="1">
        <v>12</v>
      </c>
      <c r="C445" s="1">
        <v>15</v>
      </c>
      <c r="D445" s="6">
        <v>2020.95355</v>
      </c>
      <c r="E445" s="2">
        <v>1829.39</v>
      </c>
      <c r="F445" s="3">
        <v>2.9889999999999999</v>
      </c>
      <c r="G445" s="3">
        <v>17.289100000000001</v>
      </c>
      <c r="H445" s="1" t="s">
        <v>9</v>
      </c>
    </row>
    <row r="446" spans="1:8" x14ac:dyDescent="0.3">
      <c r="A446" s="1">
        <v>2021</v>
      </c>
      <c r="B446" s="1">
        <v>1</v>
      </c>
      <c r="C446" s="1">
        <v>15</v>
      </c>
      <c r="D446" s="6">
        <v>2021.03836</v>
      </c>
      <c r="E446" s="2">
        <v>1820.14</v>
      </c>
      <c r="F446" s="3">
        <v>2.3340000000000001</v>
      </c>
      <c r="G446" s="3">
        <v>17.542999999999999</v>
      </c>
      <c r="H446" s="1" t="s">
        <v>9</v>
      </c>
    </row>
    <row r="447" spans="1:8" x14ac:dyDescent="0.3">
      <c r="A447" s="1">
        <v>2021</v>
      </c>
      <c r="B447" s="1">
        <v>2</v>
      </c>
      <c r="C447" s="1">
        <v>15</v>
      </c>
      <c r="D447" s="6">
        <v>2021.12329</v>
      </c>
      <c r="E447" s="2">
        <v>1816.51</v>
      </c>
      <c r="F447" s="3">
        <v>0.66200000000000003</v>
      </c>
      <c r="G447" s="3">
        <v>17.612100000000002</v>
      </c>
      <c r="H447" s="1" t="s">
        <v>9</v>
      </c>
    </row>
    <row r="448" spans="1:8" x14ac:dyDescent="0.3">
      <c r="A448" s="1">
        <v>2021</v>
      </c>
      <c r="B448" s="1">
        <v>3</v>
      </c>
      <c r="C448" s="1">
        <v>15</v>
      </c>
      <c r="D448" s="6">
        <v>2021.2</v>
      </c>
      <c r="E448" s="2">
        <v>1820.18</v>
      </c>
      <c r="F448" s="3">
        <v>1.9610000000000001</v>
      </c>
      <c r="G448" s="3">
        <v>17.832000000000001</v>
      </c>
      <c r="H448" s="1" t="s">
        <v>9</v>
      </c>
    </row>
    <row r="449" spans="1:8" x14ac:dyDescent="0.3">
      <c r="A449" s="1">
        <v>2021</v>
      </c>
      <c r="B449" s="1">
        <v>4</v>
      </c>
      <c r="C449" s="1">
        <v>15</v>
      </c>
      <c r="D449" s="6">
        <v>2021.28493</v>
      </c>
      <c r="E449" s="2">
        <v>1827</v>
      </c>
      <c r="F449" s="3">
        <v>2.2010000000000001</v>
      </c>
      <c r="G449" s="3">
        <v>18.293900000000001</v>
      </c>
      <c r="H449" s="1" t="s">
        <v>9</v>
      </c>
    </row>
    <row r="450" spans="1:8" x14ac:dyDescent="0.3">
      <c r="A450" s="1">
        <v>2021</v>
      </c>
      <c r="B450" s="1">
        <v>5</v>
      </c>
      <c r="C450" s="1">
        <v>15</v>
      </c>
      <c r="D450" s="6">
        <v>2021.3671200000001</v>
      </c>
      <c r="E450" s="2">
        <v>1834.69</v>
      </c>
      <c r="F450" s="3">
        <v>2.63</v>
      </c>
      <c r="G450" s="3">
        <v>18.317</v>
      </c>
      <c r="H450" s="1" t="s">
        <v>9</v>
      </c>
    </row>
    <row r="451" spans="1:8" x14ac:dyDescent="0.3">
      <c r="A451" s="1">
        <v>2021</v>
      </c>
      <c r="B451" s="1">
        <v>6</v>
      </c>
      <c r="C451" s="1">
        <v>15</v>
      </c>
      <c r="D451" s="6">
        <v>2021.4520500000001</v>
      </c>
      <c r="E451" s="2">
        <v>1843.66</v>
      </c>
      <c r="F451" s="3">
        <v>2.7029999999999998</v>
      </c>
      <c r="G451" s="3">
        <v>18.396000000000001</v>
      </c>
      <c r="H451" s="1" t="s">
        <v>9</v>
      </c>
    </row>
    <row r="452" spans="1:8" x14ac:dyDescent="0.3">
      <c r="A452" s="1">
        <v>2021</v>
      </c>
      <c r="B452" s="1">
        <v>7</v>
      </c>
      <c r="C452" s="1">
        <v>15</v>
      </c>
      <c r="D452" s="6">
        <v>2021.5342499999999</v>
      </c>
      <c r="E452" s="2">
        <v>1851.84</v>
      </c>
      <c r="F452" s="3">
        <v>2.2309999999999999</v>
      </c>
      <c r="G452" s="3">
        <v>19.366099999999999</v>
      </c>
      <c r="H452" s="1" t="s">
        <v>9</v>
      </c>
    </row>
    <row r="453" spans="1:8" x14ac:dyDescent="0.3">
      <c r="A453" s="1">
        <v>2021</v>
      </c>
      <c r="B453" s="1">
        <v>8</v>
      </c>
      <c r="C453" s="1">
        <v>15</v>
      </c>
      <c r="D453" s="6">
        <v>2021.6191799999999</v>
      </c>
      <c r="E453" s="2">
        <v>1857.43</v>
      </c>
      <c r="F453" s="3">
        <v>1.405</v>
      </c>
      <c r="G453" s="3">
        <v>19.4359</v>
      </c>
      <c r="H453" s="1" t="s">
        <v>9</v>
      </c>
    </row>
    <row r="454" spans="1:8" x14ac:dyDescent="0.3">
      <c r="A454" s="1">
        <v>2021</v>
      </c>
      <c r="B454" s="1">
        <v>9</v>
      </c>
      <c r="C454" s="1">
        <v>15</v>
      </c>
      <c r="D454" s="6">
        <v>2021.7041099999999</v>
      </c>
      <c r="E454" s="2">
        <v>1860.32</v>
      </c>
      <c r="F454" s="3">
        <v>0.70299999999999996</v>
      </c>
      <c r="G454" s="3">
        <v>17.501999999999999</v>
      </c>
      <c r="H454" s="1" t="s">
        <v>9</v>
      </c>
    </row>
    <row r="455" spans="1:8" x14ac:dyDescent="0.3">
      <c r="A455" s="1">
        <v>2021</v>
      </c>
      <c r="B455" s="1">
        <v>10</v>
      </c>
      <c r="C455" s="1">
        <v>15</v>
      </c>
      <c r="D455" s="6">
        <v>2021.7863</v>
      </c>
      <c r="E455" s="2">
        <v>1860.06</v>
      </c>
      <c r="F455" s="3">
        <v>0.81100000000000005</v>
      </c>
      <c r="G455" s="3">
        <v>17.3201</v>
      </c>
      <c r="H455" s="1" t="s">
        <v>9</v>
      </c>
    </row>
    <row r="456" spans="1:8" x14ac:dyDescent="0.3">
      <c r="A456" s="1">
        <v>2021</v>
      </c>
      <c r="B456" s="1">
        <v>11</v>
      </c>
      <c r="C456" s="1">
        <v>15</v>
      </c>
      <c r="D456" s="6">
        <v>2021.87123</v>
      </c>
      <c r="E456" s="2">
        <v>1855.83</v>
      </c>
      <c r="F456" s="3">
        <v>1.925</v>
      </c>
      <c r="G456" s="3">
        <v>19.335899999999999</v>
      </c>
      <c r="H456" s="1" t="s">
        <v>9</v>
      </c>
    </row>
    <row r="457" spans="1:8" x14ac:dyDescent="0.3">
      <c r="A457" s="1">
        <v>2021</v>
      </c>
      <c r="B457" s="1">
        <v>12</v>
      </c>
      <c r="C457" s="1">
        <v>15</v>
      </c>
      <c r="D457" s="6">
        <v>2021.9534200000001</v>
      </c>
      <c r="E457" s="2">
        <v>1847.79</v>
      </c>
      <c r="F457" s="3">
        <v>2.7810000000000001</v>
      </c>
      <c r="G457" s="3">
        <v>18.376000000000001</v>
      </c>
      <c r="H457" s="1" t="s">
        <v>9</v>
      </c>
    </row>
    <row r="458" spans="1:8" x14ac:dyDescent="0.3">
      <c r="A458" s="1">
        <v>2022</v>
      </c>
      <c r="B458" s="1">
        <v>1</v>
      </c>
      <c r="C458" s="1">
        <v>15</v>
      </c>
      <c r="D458" s="6">
        <v>2022.03836</v>
      </c>
      <c r="E458" s="2">
        <v>1839.51</v>
      </c>
      <c r="F458" s="3">
        <v>2.008</v>
      </c>
      <c r="G458" s="3">
        <v>16.575900000000001</v>
      </c>
      <c r="H458" s="1" t="s">
        <v>9</v>
      </c>
    </row>
    <row r="459" spans="1:8" x14ac:dyDescent="0.3">
      <c r="A459" s="1">
        <v>2022</v>
      </c>
      <c r="B459" s="1">
        <v>2</v>
      </c>
      <c r="C459" s="1">
        <v>15</v>
      </c>
      <c r="D459" s="6">
        <v>2022.12329</v>
      </c>
      <c r="E459" s="2">
        <v>1835.94</v>
      </c>
      <c r="F459" s="3">
        <v>0.72699999999999998</v>
      </c>
      <c r="G459" s="3">
        <v>17.478999999999999</v>
      </c>
      <c r="H459" s="1" t="s">
        <v>9</v>
      </c>
    </row>
    <row r="460" spans="1:8" x14ac:dyDescent="0.3">
      <c r="A460" s="1">
        <v>2022</v>
      </c>
      <c r="B460" s="1">
        <v>3</v>
      </c>
      <c r="C460" s="1">
        <v>15</v>
      </c>
      <c r="D460" s="6">
        <v>2022.2</v>
      </c>
      <c r="E460" s="2">
        <v>1837.68</v>
      </c>
      <c r="F460" s="3">
        <v>1.462</v>
      </c>
      <c r="G460" s="3">
        <v>17.501000000000001</v>
      </c>
      <c r="H460" s="1" t="s">
        <v>9</v>
      </c>
    </row>
    <row r="461" spans="1:8" x14ac:dyDescent="0.3">
      <c r="A461" s="1">
        <v>2022</v>
      </c>
      <c r="B461" s="1">
        <v>4</v>
      </c>
      <c r="C461" s="1">
        <v>15</v>
      </c>
      <c r="D461" s="6">
        <v>2022.28493</v>
      </c>
      <c r="E461" s="2">
        <v>1844.32</v>
      </c>
      <c r="F461" s="3">
        <v>2.6949999999999998</v>
      </c>
      <c r="G461" s="3">
        <v>16.562000000000001</v>
      </c>
      <c r="H461" s="1" t="s">
        <v>9</v>
      </c>
    </row>
    <row r="462" spans="1:8" x14ac:dyDescent="0.3">
      <c r="A462" s="1">
        <v>2022</v>
      </c>
      <c r="B462" s="1">
        <v>5</v>
      </c>
      <c r="C462" s="1">
        <v>15</v>
      </c>
      <c r="D462" s="6">
        <v>2022.3671200000001</v>
      </c>
      <c r="E462" s="2">
        <v>1854.03</v>
      </c>
      <c r="F462" s="3">
        <v>2.9710000000000001</v>
      </c>
      <c r="G462" s="3">
        <v>16.434899999999999</v>
      </c>
      <c r="H462" s="1" t="s">
        <v>9</v>
      </c>
    </row>
    <row r="463" spans="1:8" x14ac:dyDescent="0.3">
      <c r="A463" s="1">
        <v>2022</v>
      </c>
      <c r="B463" s="1">
        <v>6</v>
      </c>
      <c r="C463" s="1">
        <v>15</v>
      </c>
      <c r="D463" s="6">
        <v>2022.4520500000001</v>
      </c>
      <c r="E463" s="2">
        <v>1862.04</v>
      </c>
      <c r="F463" s="3">
        <v>2.0150000000000001</v>
      </c>
      <c r="G463" s="3">
        <v>16.663900000000002</v>
      </c>
      <c r="H463" s="1" t="s">
        <v>9</v>
      </c>
    </row>
    <row r="464" spans="1:8" x14ac:dyDescent="0.3">
      <c r="A464" s="1">
        <v>2022</v>
      </c>
      <c r="B464" s="1">
        <v>7</v>
      </c>
      <c r="C464" s="1">
        <v>15</v>
      </c>
      <c r="D464" s="6">
        <v>2022.5342499999999</v>
      </c>
      <c r="E464" s="2">
        <v>1868.41</v>
      </c>
      <c r="F464" s="3">
        <v>2.1120000000000001</v>
      </c>
      <c r="G464" s="3">
        <v>15.855</v>
      </c>
      <c r="H464" s="1" t="s">
        <v>9</v>
      </c>
    </row>
    <row r="465" spans="1:8" x14ac:dyDescent="0.3">
      <c r="A465" s="1">
        <v>2022</v>
      </c>
      <c r="B465" s="1">
        <v>8</v>
      </c>
      <c r="C465" s="1">
        <v>15</v>
      </c>
      <c r="D465" s="6">
        <v>2022.6191799999999</v>
      </c>
      <c r="E465" s="2">
        <v>1874.91</v>
      </c>
      <c r="F465" s="3">
        <v>1.748</v>
      </c>
      <c r="G465" s="3">
        <v>14.951000000000001</v>
      </c>
      <c r="H465" s="1" t="s">
        <v>9</v>
      </c>
    </row>
    <row r="466" spans="1:8" x14ac:dyDescent="0.3">
      <c r="A466" s="1">
        <v>2022</v>
      </c>
      <c r="B466" s="1">
        <v>9</v>
      </c>
      <c r="C466" s="1">
        <v>15</v>
      </c>
      <c r="D466" s="6">
        <v>2022.7041099999999</v>
      </c>
      <c r="E466" s="2">
        <v>1877.82</v>
      </c>
      <c r="F466" s="3">
        <v>0.66</v>
      </c>
      <c r="G466" s="3">
        <v>15.62</v>
      </c>
      <c r="H466" s="1" t="s">
        <v>9</v>
      </c>
    </row>
    <row r="467" spans="1:8" x14ac:dyDescent="0.3">
      <c r="A467" s="1">
        <v>2022</v>
      </c>
      <c r="B467" s="1">
        <v>10</v>
      </c>
      <c r="C467" s="1">
        <v>15</v>
      </c>
      <c r="D467" s="6">
        <v>2022.7863</v>
      </c>
      <c r="E467" s="2">
        <v>1876.63</v>
      </c>
      <c r="F467" s="3">
        <v>0.91500000000000004</v>
      </c>
      <c r="G467" s="3">
        <v>15.507899999999999</v>
      </c>
      <c r="H467" s="1" t="s">
        <v>9</v>
      </c>
    </row>
    <row r="468" spans="1:8" x14ac:dyDescent="0.3">
      <c r="A468" s="1">
        <v>2022</v>
      </c>
      <c r="B468" s="1">
        <v>11</v>
      </c>
      <c r="C468" s="1">
        <v>15</v>
      </c>
      <c r="D468" s="6">
        <v>2022.87123</v>
      </c>
      <c r="E468" s="2">
        <v>1872.26</v>
      </c>
      <c r="F468" s="3">
        <v>1.8759999999999999</v>
      </c>
      <c r="G468" s="3">
        <v>13.680999999999999</v>
      </c>
      <c r="H468" s="1" t="s">
        <v>9</v>
      </c>
    </row>
    <row r="469" spans="1:8" x14ac:dyDescent="0.3">
      <c r="A469" s="1">
        <v>2022</v>
      </c>
      <c r="B469" s="1">
        <v>12</v>
      </c>
      <c r="C469" s="1">
        <v>15</v>
      </c>
      <c r="D469" s="6">
        <v>2022.9534200000001</v>
      </c>
      <c r="E469" s="2">
        <v>1864.45</v>
      </c>
      <c r="F469" s="3">
        <v>2.839</v>
      </c>
      <c r="G469" s="3">
        <v>12.856</v>
      </c>
      <c r="H469" s="1" t="s">
        <v>9</v>
      </c>
    </row>
    <row r="470" spans="1:8" x14ac:dyDescent="0.3">
      <c r="A470" s="1">
        <v>2023</v>
      </c>
      <c r="B470" s="1">
        <v>1</v>
      </c>
      <c r="C470" s="1">
        <v>15</v>
      </c>
      <c r="D470" s="6">
        <v>2023.03836</v>
      </c>
      <c r="E470" s="2">
        <v>1855.36</v>
      </c>
      <c r="F470" s="3">
        <v>2.4249999999999998</v>
      </c>
      <c r="G470" s="3">
        <v>12.648999999999999</v>
      </c>
      <c r="H470" s="1" t="s">
        <v>9</v>
      </c>
    </row>
    <row r="471" spans="1:8" x14ac:dyDescent="0.3">
      <c r="A471" s="1">
        <v>2023</v>
      </c>
      <c r="B471" s="1">
        <v>2</v>
      </c>
      <c r="C471" s="1">
        <v>15</v>
      </c>
      <c r="D471" s="6">
        <v>2023.12329</v>
      </c>
      <c r="E471" s="2">
        <v>1850.9</v>
      </c>
      <c r="F471" s="3">
        <v>0.68799999999999994</v>
      </c>
      <c r="G471" s="3">
        <v>11.824999999999999</v>
      </c>
      <c r="H471" s="1" t="s">
        <v>9</v>
      </c>
    </row>
    <row r="472" spans="1:8" x14ac:dyDescent="0.3">
      <c r="A472" s="1">
        <v>2023</v>
      </c>
      <c r="B472" s="1">
        <v>3</v>
      </c>
      <c r="C472" s="1">
        <v>15</v>
      </c>
      <c r="D472" s="6">
        <v>2023.2</v>
      </c>
      <c r="E472" s="2">
        <v>1853.3</v>
      </c>
      <c r="F472" s="3">
        <v>1.7010000000000001</v>
      </c>
      <c r="G472" s="3">
        <v>11.3041</v>
      </c>
      <c r="H472" s="1" t="s">
        <v>9</v>
      </c>
    </row>
    <row r="473" spans="1:8" x14ac:dyDescent="0.3">
      <c r="A473" s="1">
        <v>2023</v>
      </c>
      <c r="B473" s="1">
        <v>4</v>
      </c>
      <c r="C473" s="1">
        <v>15</v>
      </c>
      <c r="D473" s="6">
        <v>2023.28493</v>
      </c>
      <c r="E473" s="2">
        <v>1859.82</v>
      </c>
      <c r="F473" s="3">
        <v>2.2749999999999999</v>
      </c>
      <c r="G473" s="3">
        <v>11.2471</v>
      </c>
      <c r="H473" s="1" t="s">
        <v>9</v>
      </c>
    </row>
    <row r="474" spans="1:8" x14ac:dyDescent="0.3">
      <c r="A474" s="1">
        <v>2023</v>
      </c>
      <c r="B474" s="1">
        <v>5</v>
      </c>
      <c r="C474" s="1">
        <v>15</v>
      </c>
      <c r="D474" s="6">
        <v>2023.3671200000001</v>
      </c>
      <c r="E474" s="2">
        <v>1867.71</v>
      </c>
      <c r="F474" s="3">
        <v>2.4790000000000001</v>
      </c>
      <c r="G474" s="3">
        <v>11.473000000000001</v>
      </c>
      <c r="H474" s="1" t="s">
        <v>9</v>
      </c>
    </row>
    <row r="475" spans="1:8" x14ac:dyDescent="0.3">
      <c r="A475" s="1">
        <v>2023</v>
      </c>
      <c r="B475" s="1">
        <v>6</v>
      </c>
      <c r="C475" s="1">
        <v>15</v>
      </c>
      <c r="D475" s="6">
        <v>2023.4520500000001</v>
      </c>
      <c r="E475" s="2">
        <v>1874.89</v>
      </c>
      <c r="F475" s="3">
        <v>1.974</v>
      </c>
      <c r="G475" s="3">
        <v>10.545999999999999</v>
      </c>
      <c r="H475" s="1" t="s">
        <v>9</v>
      </c>
    </row>
    <row r="476" spans="1:8" x14ac:dyDescent="0.3">
      <c r="A476" s="1">
        <v>2023</v>
      </c>
      <c r="B476" s="1">
        <v>7</v>
      </c>
      <c r="C476" s="1">
        <v>15</v>
      </c>
      <c r="D476" s="6">
        <v>2023.5342499999999</v>
      </c>
      <c r="E476" s="2">
        <v>1881.06</v>
      </c>
      <c r="F476" s="3">
        <v>1.9870000000000001</v>
      </c>
      <c r="G476" s="3">
        <v>8.8549799999999994</v>
      </c>
      <c r="H476" s="1" t="s">
        <v>9</v>
      </c>
    </row>
    <row r="477" spans="1:8" x14ac:dyDescent="0.3">
      <c r="A477" s="1">
        <v>2023</v>
      </c>
      <c r="B477" s="1">
        <v>8</v>
      </c>
      <c r="C477" s="1">
        <v>15</v>
      </c>
      <c r="D477" s="6">
        <v>2023.6191799999999</v>
      </c>
      <c r="E477" s="2">
        <v>1886.73</v>
      </c>
      <c r="F477" s="3">
        <v>1.5660000000000001</v>
      </c>
      <c r="G477" s="3">
        <v>6.9000199999999996</v>
      </c>
      <c r="H477" s="1" t="s">
        <v>9</v>
      </c>
    </row>
    <row r="478" spans="1:8" x14ac:dyDescent="0.3">
      <c r="A478" s="1">
        <v>2023</v>
      </c>
      <c r="B478" s="1">
        <v>9</v>
      </c>
      <c r="C478" s="1">
        <v>15</v>
      </c>
      <c r="D478" s="6">
        <v>2023.7041099999999</v>
      </c>
      <c r="E478" s="2">
        <v>1889.12</v>
      </c>
      <c r="F478" s="3">
        <v>0.47099999999999997</v>
      </c>
      <c r="G478" s="3">
        <v>4.5350299999999999</v>
      </c>
      <c r="H478" s="1" t="s">
        <v>9</v>
      </c>
    </row>
    <row r="479" spans="1:8" x14ac:dyDescent="0.3">
      <c r="A479" s="1">
        <v>2023</v>
      </c>
      <c r="B479" s="1">
        <v>10</v>
      </c>
      <c r="C479" s="1">
        <v>15</v>
      </c>
      <c r="D479" s="6">
        <v>2023.7863</v>
      </c>
      <c r="E479" s="2">
        <v>1887.87</v>
      </c>
      <c r="F479" s="3">
        <v>0.93400000000000005</v>
      </c>
      <c r="G479" s="3">
        <v>3.9560499999999998</v>
      </c>
      <c r="H479" s="1" t="s">
        <v>9</v>
      </c>
    </row>
    <row r="480" spans="1:8" x14ac:dyDescent="0.3">
      <c r="A480" s="1">
        <v>2023</v>
      </c>
      <c r="B480" s="1">
        <v>11</v>
      </c>
      <c r="C480" s="1">
        <v>15</v>
      </c>
      <c r="D480" s="6">
        <v>2023.87123</v>
      </c>
      <c r="E480" s="2">
        <v>1883.73</v>
      </c>
      <c r="F480" s="3">
        <v>1.873</v>
      </c>
      <c r="G480" s="3">
        <v>4.94299</v>
      </c>
      <c r="H480" s="1" t="s">
        <v>9</v>
      </c>
    </row>
    <row r="481" spans="1:8" x14ac:dyDescent="0.3">
      <c r="A481" s="1">
        <v>2023</v>
      </c>
      <c r="B481" s="1">
        <v>12</v>
      </c>
      <c r="C481" s="1">
        <v>15</v>
      </c>
      <c r="D481" s="6">
        <v>2023.9534200000001</v>
      </c>
      <c r="E481" s="2">
        <v>1875</v>
      </c>
      <c r="F481" s="3">
        <v>3.2970000000000002</v>
      </c>
      <c r="G481" s="3">
        <v>5.0280800000000001</v>
      </c>
      <c r="H481" s="1" t="s">
        <v>9</v>
      </c>
    </row>
    <row r="482" spans="1:8" x14ac:dyDescent="0.3">
      <c r="A482" s="1">
        <v>2024</v>
      </c>
      <c r="B482" s="1">
        <v>1</v>
      </c>
      <c r="C482" s="1">
        <v>15</v>
      </c>
      <c r="D482" s="6">
        <v>2024.0382500000001</v>
      </c>
      <c r="E482" s="2">
        <v>1864.22</v>
      </c>
      <c r="F482" s="3">
        <v>2.8940000000000001</v>
      </c>
      <c r="G482" s="3">
        <v>3.7600099999999999</v>
      </c>
      <c r="H482" s="1" t="s">
        <v>9</v>
      </c>
    </row>
    <row r="483" spans="1:8" x14ac:dyDescent="0.3">
      <c r="A483" s="1">
        <v>2024</v>
      </c>
      <c r="B483" s="1">
        <v>2</v>
      </c>
      <c r="C483" s="1">
        <v>15</v>
      </c>
      <c r="D483" s="6">
        <v>2024.1229499999999</v>
      </c>
      <c r="E483" s="2">
        <v>1857.8</v>
      </c>
      <c r="F483" s="3">
        <v>1.202</v>
      </c>
      <c r="H483" s="1" t="s">
        <v>9</v>
      </c>
    </row>
    <row r="484" spans="1:8" x14ac:dyDescent="0.3">
      <c r="A484" s="1">
        <v>2024</v>
      </c>
      <c r="B484" s="1">
        <v>3</v>
      </c>
      <c r="C484" s="1">
        <v>15</v>
      </c>
      <c r="D484" s="6">
        <v>2024.20219</v>
      </c>
      <c r="E484" s="2">
        <v>1857.83</v>
      </c>
      <c r="F484" s="3">
        <v>1.169</v>
      </c>
      <c r="H484" s="1" t="s">
        <v>9</v>
      </c>
    </row>
    <row r="485" spans="1:8" x14ac:dyDescent="0.3">
      <c r="A485" s="1">
        <v>2024</v>
      </c>
      <c r="B485" s="1">
        <v>4</v>
      </c>
      <c r="C485" s="1">
        <v>15</v>
      </c>
      <c r="D485" s="6">
        <v>2024.2868900000001</v>
      </c>
      <c r="E485" s="2">
        <v>1863.78</v>
      </c>
      <c r="F485" s="3">
        <v>2.4910000000000001</v>
      </c>
      <c r="H485" s="1" t="s">
        <v>9</v>
      </c>
    </row>
    <row r="486" spans="1:8" x14ac:dyDescent="0.3">
      <c r="A486" s="1">
        <v>2024</v>
      </c>
      <c r="B486" s="1">
        <v>5</v>
      </c>
      <c r="C486" s="1">
        <v>15</v>
      </c>
      <c r="D486" s="6">
        <v>2024.3688500000001</v>
      </c>
      <c r="E486" s="2">
        <v>1872.65</v>
      </c>
      <c r="F486" s="3">
        <v>2.742</v>
      </c>
      <c r="H486" s="1" t="s">
        <v>9</v>
      </c>
    </row>
    <row r="487" spans="1:8" x14ac:dyDescent="0.3">
      <c r="A487" s="1">
        <v>2024</v>
      </c>
      <c r="B487" s="1">
        <v>6</v>
      </c>
      <c r="C487" s="1">
        <v>15</v>
      </c>
      <c r="D487" s="6">
        <v>2024.45355</v>
      </c>
      <c r="E487" s="2">
        <v>1879.92</v>
      </c>
      <c r="F487" s="3">
        <v>1.8089999999999999</v>
      </c>
      <c r="H487" s="1" t="s">
        <v>9</v>
      </c>
    </row>
    <row r="488" spans="1:8" x14ac:dyDescent="0.3">
      <c r="A488" s="1">
        <v>2024</v>
      </c>
      <c r="B488" s="1">
        <v>7</v>
      </c>
      <c r="C488" s="1">
        <v>15</v>
      </c>
      <c r="D488" s="6">
        <v>2024.5355199999999</v>
      </c>
      <c r="E488" s="2">
        <v>1884.82</v>
      </c>
      <c r="F488" s="3">
        <v>1.496</v>
      </c>
      <c r="H488" s="1" t="s">
        <v>9</v>
      </c>
    </row>
    <row r="489" spans="1:8" x14ac:dyDescent="0.3">
      <c r="A489" s="1">
        <v>2024</v>
      </c>
      <c r="B489" s="1">
        <v>8</v>
      </c>
      <c r="C489" s="1">
        <v>15</v>
      </c>
      <c r="D489" s="6">
        <v>2024.6191799999999</v>
      </c>
    </row>
    <row r="490" spans="1:8" x14ac:dyDescent="0.3">
      <c r="A490" s="1">
        <v>2024</v>
      </c>
      <c r="B490" s="1">
        <v>9</v>
      </c>
      <c r="C490" s="1">
        <v>15</v>
      </c>
      <c r="D490" s="6">
        <v>2024.7041099999999</v>
      </c>
    </row>
    <row r="491" spans="1:8" x14ac:dyDescent="0.3">
      <c r="A491" s="1">
        <v>2024</v>
      </c>
      <c r="B491" s="1">
        <v>10</v>
      </c>
      <c r="C491" s="1">
        <v>15</v>
      </c>
      <c r="D491" s="6">
        <v>2024.7863</v>
      </c>
    </row>
    <row r="492" spans="1:8" x14ac:dyDescent="0.3">
      <c r="A492" s="1">
        <v>2024</v>
      </c>
      <c r="B492" s="1">
        <v>11</v>
      </c>
      <c r="C492" s="1">
        <v>15</v>
      </c>
      <c r="D492" s="6">
        <v>2024.87123</v>
      </c>
    </row>
    <row r="493" spans="1:8" x14ac:dyDescent="0.3">
      <c r="A493" s="1">
        <v>2024</v>
      </c>
      <c r="B493" s="1">
        <v>12</v>
      </c>
      <c r="C493" s="1">
        <v>15</v>
      </c>
      <c r="D493" s="6">
        <v>2024.9534200000001</v>
      </c>
    </row>
  </sheetData>
  <hyperlinks>
    <hyperlink ref="F3" r:id="rId1" xr:uid="{C943F220-7AC5-4870-9F1A-351F57FC7A6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4"/>
  <sheetViews>
    <sheetView workbookViewId="0">
      <pane ySplit="5" topLeftCell="A48" activePane="bottomLeft" state="frozen"/>
      <selection pane="bottomLeft"/>
    </sheetView>
  </sheetViews>
  <sheetFormatPr defaultColWidth="9.21875" defaultRowHeight="14.4" x14ac:dyDescent="0.3"/>
  <cols>
    <col min="1" max="1" width="6.44140625" style="1" customWidth="1"/>
    <col min="2" max="2" width="4.21875" style="1" bestFit="1" customWidth="1"/>
    <col min="3" max="3" width="3.33203125" style="1" bestFit="1" customWidth="1"/>
    <col min="4" max="4" width="10.33203125" style="6" bestFit="1" customWidth="1"/>
    <col min="5" max="5" width="9.21875" style="3" bestFit="1" customWidth="1"/>
    <col min="6" max="6" width="6.21875" style="3" customWidth="1"/>
    <col min="7" max="7" width="9.21875" style="3"/>
    <col min="8" max="8" width="29.5546875" style="1" bestFit="1" customWidth="1"/>
    <col min="9" max="9" width="4.77734375" style="1" bestFit="1" customWidth="1"/>
    <col min="10" max="10" width="2.77734375" style="1" bestFit="1" customWidth="1"/>
    <col min="11" max="11" width="8.77734375" style="1" bestFit="1" customWidth="1"/>
    <col min="12" max="16384" width="9.21875" style="1"/>
  </cols>
  <sheetData>
    <row r="1" spans="1:11" x14ac:dyDescent="0.3">
      <c r="A1" s="1" t="s">
        <v>1</v>
      </c>
      <c r="B1" s="1" t="s">
        <v>2</v>
      </c>
      <c r="C1" s="1" t="s">
        <v>3</v>
      </c>
      <c r="D1" s="6" t="s">
        <v>4</v>
      </c>
      <c r="E1" s="3" t="s">
        <v>18</v>
      </c>
      <c r="F1" s="3" t="s">
        <v>6</v>
      </c>
      <c r="G1" s="3" t="s">
        <v>7</v>
      </c>
      <c r="H1" s="1" t="s">
        <v>8</v>
      </c>
      <c r="I1" s="1" t="s">
        <v>1</v>
      </c>
      <c r="J1" s="1" t="s">
        <v>12</v>
      </c>
      <c r="K1" s="1" t="s">
        <v>17</v>
      </c>
    </row>
    <row r="2" spans="1:11" x14ac:dyDescent="0.3">
      <c r="A2" s="1" t="s">
        <v>19</v>
      </c>
    </row>
    <row r="3" spans="1:11" x14ac:dyDescent="0.3">
      <c r="A3" s="1" t="s">
        <v>22</v>
      </c>
      <c r="F3" s="7" t="s">
        <v>0</v>
      </c>
    </row>
    <row r="4" spans="1:11" x14ac:dyDescent="0.3">
      <c r="A4" s="1">
        <v>1978</v>
      </c>
      <c r="B4" s="1">
        <v>4</v>
      </c>
      <c r="C4" s="1">
        <v>26</v>
      </c>
      <c r="D4" s="6">
        <v>1978.3178</v>
      </c>
      <c r="E4" s="3">
        <v>299.19</v>
      </c>
      <c r="F4" s="3">
        <v>0.23</v>
      </c>
      <c r="H4" s="1" t="s">
        <v>14</v>
      </c>
      <c r="I4" s="1">
        <v>1976</v>
      </c>
      <c r="J4" s="5">
        <f t="shared" ref="J4:J51" si="0">COUNTIFS($A:$A,$I4,E:E,"&gt;0")</f>
        <v>0</v>
      </c>
      <c r="K4" s="2" t="str">
        <f t="shared" ref="K4:K51" si="1">IFERROR((AVERAGEIFS(E:E,$A:$A,$I4)),"")</f>
        <v/>
      </c>
    </row>
    <row r="5" spans="1:11" x14ac:dyDescent="0.3">
      <c r="A5" s="1">
        <v>1978</v>
      </c>
      <c r="B5" s="1">
        <v>7</v>
      </c>
      <c r="C5" s="1">
        <v>7</v>
      </c>
      <c r="D5" s="6">
        <v>1978.5151000000001</v>
      </c>
      <c r="E5" s="3">
        <v>299.55</v>
      </c>
      <c r="F5" s="3">
        <v>0.19</v>
      </c>
      <c r="H5" s="1" t="s">
        <v>14</v>
      </c>
      <c r="I5" s="1">
        <v>1977</v>
      </c>
      <c r="J5" s="5">
        <f t="shared" si="0"/>
        <v>0</v>
      </c>
      <c r="K5" s="2" t="str">
        <f t="shared" si="1"/>
        <v/>
      </c>
    </row>
    <row r="6" spans="1:11" x14ac:dyDescent="0.3">
      <c r="A6" s="1">
        <v>1980</v>
      </c>
      <c r="B6" s="1">
        <v>9</v>
      </c>
      <c r="C6" s="1">
        <v>3</v>
      </c>
      <c r="D6" s="6">
        <v>1980.6749</v>
      </c>
      <c r="E6" s="3">
        <v>301.66000000000003</v>
      </c>
      <c r="F6" s="3">
        <v>7.0000000000000007E-2</v>
      </c>
      <c r="H6" s="1" t="s">
        <v>14</v>
      </c>
      <c r="I6" s="1">
        <v>1978</v>
      </c>
      <c r="J6" s="5">
        <f t="shared" si="0"/>
        <v>2</v>
      </c>
      <c r="K6" s="2">
        <f t="shared" si="1"/>
        <v>299.37</v>
      </c>
    </row>
    <row r="7" spans="1:11" x14ac:dyDescent="0.3">
      <c r="A7" s="1">
        <v>1981</v>
      </c>
      <c r="B7" s="1">
        <v>10</v>
      </c>
      <c r="C7" s="1">
        <v>5</v>
      </c>
      <c r="D7" s="6">
        <v>1981.7616</v>
      </c>
      <c r="E7" s="3">
        <v>301.83999999999997</v>
      </c>
      <c r="F7" s="3">
        <v>0.11</v>
      </c>
      <c r="H7" s="1" t="s">
        <v>14</v>
      </c>
      <c r="I7" s="1">
        <v>1979</v>
      </c>
      <c r="J7" s="5">
        <f t="shared" si="0"/>
        <v>0</v>
      </c>
      <c r="K7" s="2" t="str">
        <f t="shared" si="1"/>
        <v/>
      </c>
    </row>
    <row r="8" spans="1:11" x14ac:dyDescent="0.3">
      <c r="A8" s="1">
        <v>1984</v>
      </c>
      <c r="B8" s="1">
        <v>5</v>
      </c>
      <c r="C8" s="1">
        <v>23</v>
      </c>
      <c r="D8" s="6">
        <v>1984.3933999999999</v>
      </c>
      <c r="E8" s="3">
        <v>302.98</v>
      </c>
      <c r="F8" s="3">
        <v>0.11</v>
      </c>
      <c r="H8" s="1" t="s">
        <v>14</v>
      </c>
      <c r="I8" s="1">
        <v>1980</v>
      </c>
      <c r="J8" s="5">
        <f t="shared" si="0"/>
        <v>1</v>
      </c>
      <c r="K8" s="2">
        <f t="shared" si="1"/>
        <v>301.66000000000003</v>
      </c>
    </row>
    <row r="9" spans="1:11" x14ac:dyDescent="0.3">
      <c r="A9" s="1">
        <v>1986</v>
      </c>
      <c r="B9" s="1">
        <v>2</v>
      </c>
      <c r="C9" s="1">
        <v>6</v>
      </c>
      <c r="D9" s="6">
        <v>1986.1014</v>
      </c>
      <c r="E9" s="3">
        <v>304.51</v>
      </c>
      <c r="F9" s="3">
        <v>0.09</v>
      </c>
      <c r="H9" s="1" t="s">
        <v>14</v>
      </c>
      <c r="I9" s="1">
        <v>1981</v>
      </c>
      <c r="J9" s="5">
        <f t="shared" si="0"/>
        <v>1</v>
      </c>
      <c r="K9" s="2">
        <f t="shared" si="1"/>
        <v>301.83999999999997</v>
      </c>
    </row>
    <row r="10" spans="1:11" x14ac:dyDescent="0.3">
      <c r="A10" s="1">
        <v>1986</v>
      </c>
      <c r="B10" s="1">
        <v>11</v>
      </c>
      <c r="C10" s="1">
        <v>12</v>
      </c>
      <c r="D10" s="6">
        <v>1986.8658</v>
      </c>
      <c r="E10" s="3">
        <v>304.41000000000003</v>
      </c>
      <c r="F10" s="3">
        <v>0.11</v>
      </c>
      <c r="H10" s="1" t="s">
        <v>14</v>
      </c>
      <c r="I10" s="1">
        <v>1982</v>
      </c>
      <c r="J10" s="5">
        <f t="shared" si="0"/>
        <v>0</v>
      </c>
      <c r="K10" s="2" t="str">
        <f t="shared" si="1"/>
        <v/>
      </c>
    </row>
    <row r="11" spans="1:11" x14ac:dyDescent="0.3">
      <c r="A11" s="1">
        <v>1987</v>
      </c>
      <c r="B11" s="1">
        <v>1</v>
      </c>
      <c r="C11" s="1">
        <v>8</v>
      </c>
      <c r="D11" s="6">
        <v>1987.0219</v>
      </c>
      <c r="E11" s="3">
        <v>304.95</v>
      </c>
      <c r="F11" s="3">
        <v>0.12</v>
      </c>
      <c r="H11" s="1" t="s">
        <v>14</v>
      </c>
      <c r="I11" s="1">
        <v>1983</v>
      </c>
      <c r="J11" s="5">
        <f t="shared" si="0"/>
        <v>0</v>
      </c>
      <c r="K11" s="2" t="str">
        <f t="shared" si="1"/>
        <v/>
      </c>
    </row>
    <row r="12" spans="1:11" x14ac:dyDescent="0.3">
      <c r="A12" s="1">
        <v>1987</v>
      </c>
      <c r="B12" s="1">
        <v>5</v>
      </c>
      <c r="C12" s="1">
        <v>28</v>
      </c>
      <c r="D12" s="6">
        <v>1987.4055000000001</v>
      </c>
      <c r="E12" s="3">
        <v>305.32</v>
      </c>
      <c r="F12" s="3">
        <v>0.08</v>
      </c>
      <c r="H12" s="1" t="s">
        <v>14</v>
      </c>
      <c r="I12" s="1">
        <v>1984</v>
      </c>
      <c r="J12" s="5">
        <f t="shared" si="0"/>
        <v>1</v>
      </c>
      <c r="K12" s="2">
        <f t="shared" si="1"/>
        <v>302.98</v>
      </c>
    </row>
    <row r="13" spans="1:11" x14ac:dyDescent="0.3">
      <c r="A13" s="1">
        <v>1988</v>
      </c>
      <c r="B13" s="1">
        <v>6</v>
      </c>
      <c r="C13" s="1">
        <v>21</v>
      </c>
      <c r="D13" s="6">
        <v>1988.4727</v>
      </c>
      <c r="E13" s="3">
        <v>305.64999999999998</v>
      </c>
      <c r="F13" s="3">
        <v>0.06</v>
      </c>
      <c r="H13" s="1" t="s">
        <v>14</v>
      </c>
      <c r="I13" s="1">
        <v>1985</v>
      </c>
      <c r="J13" s="5">
        <f t="shared" si="0"/>
        <v>0</v>
      </c>
      <c r="K13" s="2" t="str">
        <f t="shared" si="1"/>
        <v/>
      </c>
    </row>
    <row r="14" spans="1:11" x14ac:dyDescent="0.3">
      <c r="A14" s="1">
        <v>1989</v>
      </c>
      <c r="B14" s="1">
        <v>5</v>
      </c>
      <c r="C14" s="1">
        <v>19</v>
      </c>
      <c r="D14" s="6">
        <v>1989.3807999999999</v>
      </c>
      <c r="E14" s="3">
        <v>307.06</v>
      </c>
      <c r="F14" s="3">
        <v>0.04</v>
      </c>
      <c r="H14" s="1" t="s">
        <v>14</v>
      </c>
      <c r="I14" s="1">
        <v>1986</v>
      </c>
      <c r="J14" s="5">
        <f t="shared" si="0"/>
        <v>2</v>
      </c>
      <c r="K14" s="2">
        <f t="shared" si="1"/>
        <v>304.46000000000004</v>
      </c>
    </row>
    <row r="15" spans="1:11" x14ac:dyDescent="0.3">
      <c r="A15" s="1">
        <v>1989</v>
      </c>
      <c r="B15" s="1">
        <v>11</v>
      </c>
      <c r="C15" s="1">
        <v>8</v>
      </c>
      <c r="D15" s="6">
        <v>1989.8548000000001</v>
      </c>
      <c r="E15" s="3">
        <v>307.49</v>
      </c>
      <c r="F15" s="3">
        <v>0.08</v>
      </c>
      <c r="H15" s="1" t="s">
        <v>14</v>
      </c>
      <c r="I15" s="1">
        <v>1987</v>
      </c>
      <c r="J15" s="5">
        <f t="shared" si="0"/>
        <v>2</v>
      </c>
      <c r="K15" s="2">
        <f t="shared" si="1"/>
        <v>305.13499999999999</v>
      </c>
    </row>
    <row r="16" spans="1:11" x14ac:dyDescent="0.3">
      <c r="A16" s="1">
        <v>1990</v>
      </c>
      <c r="B16" s="1">
        <v>2</v>
      </c>
      <c r="C16" s="1">
        <v>16</v>
      </c>
      <c r="D16" s="6">
        <v>1990.1288</v>
      </c>
      <c r="E16" s="3">
        <v>307.64999999999998</v>
      </c>
      <c r="F16" s="3">
        <v>0.12</v>
      </c>
      <c r="H16" s="1" t="s">
        <v>14</v>
      </c>
      <c r="I16" s="1">
        <v>1988</v>
      </c>
      <c r="J16" s="5">
        <f t="shared" si="0"/>
        <v>1</v>
      </c>
      <c r="K16" s="2">
        <f t="shared" si="1"/>
        <v>305.64999999999998</v>
      </c>
    </row>
    <row r="17" spans="1:11" x14ac:dyDescent="0.3">
      <c r="A17" s="1">
        <v>1990</v>
      </c>
      <c r="B17" s="1">
        <v>4</v>
      </c>
      <c r="C17" s="1">
        <v>26</v>
      </c>
      <c r="D17" s="6">
        <v>1990.3178</v>
      </c>
      <c r="E17" s="3">
        <v>307.57</v>
      </c>
      <c r="F17" s="3">
        <v>0.3</v>
      </c>
      <c r="H17" s="1" t="s">
        <v>14</v>
      </c>
      <c r="I17" s="1">
        <v>1989</v>
      </c>
      <c r="J17" s="5">
        <f t="shared" si="0"/>
        <v>2</v>
      </c>
      <c r="K17" s="2">
        <f t="shared" si="1"/>
        <v>307.27499999999998</v>
      </c>
    </row>
    <row r="18" spans="1:11" x14ac:dyDescent="0.3">
      <c r="A18" s="1">
        <v>1990</v>
      </c>
      <c r="B18" s="1">
        <v>5</v>
      </c>
      <c r="C18" s="1">
        <v>25</v>
      </c>
      <c r="D18" s="6">
        <v>1990.3973000000001</v>
      </c>
      <c r="E18" s="3">
        <v>307.77999999999997</v>
      </c>
      <c r="F18" s="3">
        <v>0.06</v>
      </c>
      <c r="H18" s="1" t="s">
        <v>14</v>
      </c>
      <c r="I18" s="1">
        <v>1990</v>
      </c>
      <c r="J18" s="5">
        <f t="shared" si="0"/>
        <v>5</v>
      </c>
      <c r="K18" s="2">
        <f t="shared" si="1"/>
        <v>307.90600000000001</v>
      </c>
    </row>
    <row r="19" spans="1:11" x14ac:dyDescent="0.3">
      <c r="A19" s="1">
        <v>1990</v>
      </c>
      <c r="B19" s="1">
        <v>11</v>
      </c>
      <c r="C19" s="1">
        <v>13</v>
      </c>
      <c r="D19" s="6">
        <v>1990.8685</v>
      </c>
      <c r="E19" s="3">
        <v>308.27</v>
      </c>
      <c r="F19" s="3">
        <v>0.16</v>
      </c>
      <c r="H19" s="1" t="s">
        <v>14</v>
      </c>
      <c r="I19" s="1">
        <v>1991</v>
      </c>
      <c r="J19" s="5">
        <f t="shared" si="0"/>
        <v>1</v>
      </c>
      <c r="K19" s="2">
        <f t="shared" si="1"/>
        <v>308.67</v>
      </c>
    </row>
    <row r="20" spans="1:11" x14ac:dyDescent="0.3">
      <c r="A20" s="1">
        <v>1990</v>
      </c>
      <c r="B20" s="1">
        <v>12</v>
      </c>
      <c r="C20" s="1">
        <v>18</v>
      </c>
      <c r="D20" s="6">
        <v>1990.9644000000001</v>
      </c>
      <c r="E20" s="3">
        <v>308.26</v>
      </c>
      <c r="F20" s="3">
        <v>0.13</v>
      </c>
      <c r="H20" s="1" t="s">
        <v>14</v>
      </c>
      <c r="I20" s="1">
        <v>1992</v>
      </c>
      <c r="J20" s="5">
        <f t="shared" si="0"/>
        <v>9</v>
      </c>
      <c r="K20" s="2">
        <f t="shared" si="1"/>
        <v>309.29455555555552</v>
      </c>
    </row>
    <row r="21" spans="1:11" x14ac:dyDescent="0.3">
      <c r="A21" s="1">
        <v>1991</v>
      </c>
      <c r="B21" s="1">
        <v>6</v>
      </c>
      <c r="C21" s="1">
        <v>19</v>
      </c>
      <c r="D21" s="6">
        <v>1991.4657999999999</v>
      </c>
      <c r="E21" s="3">
        <v>308.67</v>
      </c>
      <c r="F21" s="3">
        <v>0.04</v>
      </c>
      <c r="H21" s="1" t="s">
        <v>14</v>
      </c>
      <c r="I21" s="1">
        <v>1993</v>
      </c>
      <c r="J21" s="5">
        <f t="shared" si="0"/>
        <v>12</v>
      </c>
      <c r="K21" s="2">
        <f t="shared" si="1"/>
        <v>309.25524999999999</v>
      </c>
    </row>
    <row r="22" spans="1:11" x14ac:dyDescent="0.3">
      <c r="A22" s="1">
        <v>1992</v>
      </c>
      <c r="B22" s="1">
        <v>1</v>
      </c>
      <c r="C22" s="1">
        <v>16</v>
      </c>
      <c r="D22" s="6">
        <v>1992.0436999999999</v>
      </c>
      <c r="E22" s="3">
        <v>309.44</v>
      </c>
      <c r="F22" s="3">
        <v>7.0000000000000007E-2</v>
      </c>
      <c r="H22" s="1" t="s">
        <v>14</v>
      </c>
      <c r="I22" s="1">
        <v>1994</v>
      </c>
      <c r="J22" s="5">
        <f t="shared" si="0"/>
        <v>12</v>
      </c>
      <c r="K22" s="2">
        <f t="shared" si="1"/>
        <v>309.90058333333337</v>
      </c>
    </row>
    <row r="23" spans="1:11" x14ac:dyDescent="0.3">
      <c r="A23" s="1">
        <v>1992</v>
      </c>
      <c r="B23" s="1">
        <v>2</v>
      </c>
      <c r="C23" s="1">
        <v>12</v>
      </c>
      <c r="D23" s="6">
        <v>1992.1175000000001</v>
      </c>
      <c r="E23" s="3">
        <v>309.29000000000002</v>
      </c>
      <c r="F23" s="3">
        <v>0.06</v>
      </c>
      <c r="H23" s="1" t="s">
        <v>14</v>
      </c>
      <c r="I23" s="1">
        <v>1995</v>
      </c>
      <c r="J23" s="5">
        <f t="shared" si="0"/>
        <v>12</v>
      </c>
      <c r="K23" s="2">
        <f t="shared" si="1"/>
        <v>310.50966666666665</v>
      </c>
    </row>
    <row r="24" spans="1:11" x14ac:dyDescent="0.3">
      <c r="A24" s="1">
        <v>1992</v>
      </c>
      <c r="B24" s="1">
        <v>3</v>
      </c>
      <c r="C24" s="1">
        <v>18</v>
      </c>
      <c r="D24" s="6">
        <v>1992.2130999999999</v>
      </c>
      <c r="E24" s="3">
        <v>309.07</v>
      </c>
      <c r="F24" s="3">
        <v>0.09</v>
      </c>
      <c r="H24" s="1" t="s">
        <v>14</v>
      </c>
      <c r="I24" s="1">
        <v>1996</v>
      </c>
      <c r="J24" s="5">
        <f t="shared" si="0"/>
        <v>12</v>
      </c>
      <c r="K24" s="2">
        <f t="shared" si="1"/>
        <v>311.19133333333332</v>
      </c>
    </row>
    <row r="25" spans="1:11" x14ac:dyDescent="0.3">
      <c r="A25" s="1">
        <v>1992</v>
      </c>
      <c r="B25" s="1">
        <v>4</v>
      </c>
      <c r="C25" s="1">
        <v>8</v>
      </c>
      <c r="D25" s="6">
        <v>1992.2705000000001</v>
      </c>
      <c r="E25" s="3">
        <v>309.07</v>
      </c>
      <c r="F25" s="3">
        <v>0.1</v>
      </c>
      <c r="H25" s="1" t="s">
        <v>14</v>
      </c>
      <c r="I25" s="1">
        <v>1997</v>
      </c>
      <c r="J25" s="5">
        <f t="shared" si="0"/>
        <v>12</v>
      </c>
      <c r="K25" s="2">
        <f t="shared" si="1"/>
        <v>312.22833333333335</v>
      </c>
    </row>
    <row r="26" spans="1:11" x14ac:dyDescent="0.3">
      <c r="A26" s="1">
        <v>1992</v>
      </c>
      <c r="B26" s="1">
        <v>8</v>
      </c>
      <c r="C26" s="1">
        <v>15</v>
      </c>
      <c r="D26" s="6">
        <v>1992.6202189999999</v>
      </c>
      <c r="E26" s="3">
        <v>309.13799999999998</v>
      </c>
      <c r="F26" s="3">
        <v>0.35399999999999998</v>
      </c>
      <c r="H26" s="1" t="s">
        <v>10</v>
      </c>
      <c r="I26" s="1">
        <v>1998</v>
      </c>
      <c r="J26" s="5">
        <f t="shared" si="0"/>
        <v>12</v>
      </c>
      <c r="K26" s="2">
        <f t="shared" si="1"/>
        <v>313.03474999999997</v>
      </c>
    </row>
    <row r="27" spans="1:11" x14ac:dyDescent="0.3">
      <c r="A27" s="1">
        <v>1992</v>
      </c>
      <c r="B27" s="1">
        <v>9</v>
      </c>
      <c r="C27" s="1">
        <v>15</v>
      </c>
      <c r="D27" s="6">
        <v>1992.7049179999999</v>
      </c>
      <c r="E27" s="3">
        <v>309.31700000000001</v>
      </c>
      <c r="F27" s="3">
        <v>0.2893</v>
      </c>
      <c r="H27" s="1" t="s">
        <v>10</v>
      </c>
      <c r="I27" s="1">
        <v>1999</v>
      </c>
      <c r="J27" s="5">
        <f t="shared" si="0"/>
        <v>12</v>
      </c>
      <c r="K27" s="2">
        <f t="shared" si="1"/>
        <v>313.98533333333324</v>
      </c>
    </row>
    <row r="28" spans="1:11" x14ac:dyDescent="0.3">
      <c r="A28" s="1">
        <v>1992</v>
      </c>
      <c r="B28" s="1">
        <v>10</v>
      </c>
      <c r="C28" s="1">
        <v>15</v>
      </c>
      <c r="D28" s="6">
        <v>1992.786885</v>
      </c>
      <c r="E28" s="3">
        <v>309.41399999999999</v>
      </c>
      <c r="F28" s="3">
        <v>0.29310000000000003</v>
      </c>
      <c r="H28" s="1" t="s">
        <v>10</v>
      </c>
      <c r="I28" s="1">
        <v>2000</v>
      </c>
      <c r="J28" s="5">
        <f t="shared" si="0"/>
        <v>12</v>
      </c>
      <c r="K28" s="2">
        <f t="shared" si="1"/>
        <v>314.84833333333336</v>
      </c>
    </row>
    <row r="29" spans="1:11" x14ac:dyDescent="0.3">
      <c r="A29" s="1">
        <v>1992</v>
      </c>
      <c r="B29" s="1">
        <v>11</v>
      </c>
      <c r="C29" s="1">
        <v>15</v>
      </c>
      <c r="D29" s="6">
        <v>1992.8715850000001</v>
      </c>
      <c r="E29" s="3">
        <v>309.44</v>
      </c>
      <c r="F29" s="3">
        <v>0.32369999999999999</v>
      </c>
      <c r="H29" s="1" t="s">
        <v>10</v>
      </c>
      <c r="I29" s="1">
        <v>2001</v>
      </c>
      <c r="J29" s="5">
        <f t="shared" si="0"/>
        <v>12</v>
      </c>
      <c r="K29" s="2">
        <f t="shared" si="1"/>
        <v>315.37191666666666</v>
      </c>
    </row>
    <row r="30" spans="1:11" x14ac:dyDescent="0.3">
      <c r="A30" s="1">
        <v>1992</v>
      </c>
      <c r="B30" s="1">
        <v>12</v>
      </c>
      <c r="C30" s="1">
        <v>15</v>
      </c>
      <c r="D30" s="6">
        <v>1992.9535519999999</v>
      </c>
      <c r="E30" s="3">
        <v>309.47199999999998</v>
      </c>
      <c r="F30" s="3">
        <v>0.10290000000000001</v>
      </c>
      <c r="H30" s="1" t="s">
        <v>10</v>
      </c>
      <c r="I30" s="1">
        <v>2002</v>
      </c>
      <c r="J30" s="5">
        <f t="shared" si="0"/>
        <v>12</v>
      </c>
      <c r="K30" s="2">
        <f t="shared" si="1"/>
        <v>316.08708333333334</v>
      </c>
    </row>
    <row r="31" spans="1:11" x14ac:dyDescent="0.3">
      <c r="A31" s="1">
        <v>1993</v>
      </c>
      <c r="B31" s="1">
        <v>1</v>
      </c>
      <c r="C31" s="1">
        <v>15</v>
      </c>
      <c r="D31" s="6">
        <v>1993.038356</v>
      </c>
      <c r="E31" s="3">
        <v>309.363</v>
      </c>
      <c r="F31" s="3">
        <v>0.23050000000000001</v>
      </c>
      <c r="H31" s="1" t="s">
        <v>10</v>
      </c>
      <c r="I31" s="1">
        <v>2003</v>
      </c>
      <c r="J31" s="5">
        <f t="shared" si="0"/>
        <v>12</v>
      </c>
      <c r="K31" s="2">
        <f t="shared" si="1"/>
        <v>316.59241666666668</v>
      </c>
    </row>
    <row r="32" spans="1:11" x14ac:dyDescent="0.3">
      <c r="A32" s="1">
        <v>1993</v>
      </c>
      <c r="B32" s="1">
        <v>2</v>
      </c>
      <c r="C32" s="1">
        <v>15</v>
      </c>
      <c r="D32" s="6">
        <v>1993.123288</v>
      </c>
      <c r="E32" s="3">
        <v>309.14999999999998</v>
      </c>
      <c r="F32" s="3">
        <v>0.45579999999999998</v>
      </c>
      <c r="G32" s="3">
        <v>0.25100699999999998</v>
      </c>
      <c r="H32" s="1" t="s">
        <v>10</v>
      </c>
      <c r="I32" s="1">
        <v>2004</v>
      </c>
      <c r="J32" s="5">
        <f t="shared" si="0"/>
        <v>12</v>
      </c>
      <c r="K32" s="2">
        <f t="shared" si="1"/>
        <v>317.39358333333331</v>
      </c>
    </row>
    <row r="33" spans="1:11" x14ac:dyDescent="0.3">
      <c r="A33" s="1">
        <v>1993</v>
      </c>
      <c r="B33" s="1">
        <v>3</v>
      </c>
      <c r="C33" s="1">
        <v>15</v>
      </c>
      <c r="D33" s="6">
        <v>1993.2</v>
      </c>
      <c r="E33" s="3">
        <v>308.89</v>
      </c>
      <c r="F33" s="3">
        <v>0.27539999999999998</v>
      </c>
      <c r="G33" s="3">
        <v>0.16500899999999999</v>
      </c>
      <c r="H33" s="1" t="s">
        <v>10</v>
      </c>
      <c r="I33" s="1">
        <v>2005</v>
      </c>
      <c r="J33" s="5">
        <f t="shared" si="0"/>
        <v>12</v>
      </c>
      <c r="K33" s="2">
        <f t="shared" si="1"/>
        <v>318.08374999999995</v>
      </c>
    </row>
    <row r="34" spans="1:11" x14ac:dyDescent="0.3">
      <c r="A34" s="1">
        <v>1993</v>
      </c>
      <c r="B34" s="1">
        <v>4</v>
      </c>
      <c r="C34" s="1">
        <v>15</v>
      </c>
      <c r="D34" s="6">
        <v>1993.284932</v>
      </c>
      <c r="E34" s="3">
        <v>308.84800000000001</v>
      </c>
      <c r="F34" s="3">
        <v>0.31940000000000002</v>
      </c>
      <c r="G34" s="3">
        <v>0.22601299999999999</v>
      </c>
      <c r="H34" s="1" t="s">
        <v>10</v>
      </c>
      <c r="I34" s="1">
        <v>2006</v>
      </c>
      <c r="J34" s="5">
        <f t="shared" si="0"/>
        <v>12</v>
      </c>
      <c r="K34" s="2">
        <f t="shared" si="1"/>
        <v>318.88200000000001</v>
      </c>
    </row>
    <row r="35" spans="1:11" x14ac:dyDescent="0.3">
      <c r="A35" s="1">
        <v>1993</v>
      </c>
      <c r="B35" s="1">
        <v>5</v>
      </c>
      <c r="C35" s="1">
        <v>15</v>
      </c>
      <c r="D35" s="6">
        <v>1993.367123</v>
      </c>
      <c r="E35" s="3">
        <v>309.00799999999998</v>
      </c>
      <c r="F35" s="3">
        <v>0.16489999999999999</v>
      </c>
      <c r="G35" s="3">
        <v>0.21499599999999999</v>
      </c>
      <c r="H35" s="1" t="s">
        <v>10</v>
      </c>
      <c r="I35" s="1">
        <v>2007</v>
      </c>
      <c r="J35" s="5">
        <f t="shared" si="0"/>
        <v>12</v>
      </c>
      <c r="K35" s="2">
        <f t="shared" si="1"/>
        <v>319.51441666666665</v>
      </c>
    </row>
    <row r="36" spans="1:11" x14ac:dyDescent="0.3">
      <c r="A36" s="1">
        <v>1993</v>
      </c>
      <c r="B36" s="1">
        <v>6</v>
      </c>
      <c r="C36" s="1">
        <v>15</v>
      </c>
      <c r="D36" s="6">
        <v>1993.452055</v>
      </c>
      <c r="E36" s="3">
        <v>309.03199999999998</v>
      </c>
      <c r="F36" s="3">
        <v>0.252</v>
      </c>
      <c r="G36" s="3">
        <v>-9.9792500000000003E-3</v>
      </c>
      <c r="H36" s="1" t="s">
        <v>10</v>
      </c>
      <c r="I36" s="1">
        <v>2008</v>
      </c>
      <c r="J36" s="5">
        <f t="shared" si="0"/>
        <v>12</v>
      </c>
      <c r="K36" s="2">
        <f t="shared" si="1"/>
        <v>320.76058333333339</v>
      </c>
    </row>
    <row r="37" spans="1:11" x14ac:dyDescent="0.3">
      <c r="A37" s="1">
        <v>1993</v>
      </c>
      <c r="B37" s="1">
        <v>7</v>
      </c>
      <c r="C37" s="1">
        <v>15</v>
      </c>
      <c r="D37" s="6">
        <v>1993.5342470000001</v>
      </c>
      <c r="E37" s="3">
        <v>309.14400000000001</v>
      </c>
      <c r="F37" s="3">
        <v>0.41360000000000002</v>
      </c>
      <c r="G37" s="3">
        <v>-1.5014599999999999E-2</v>
      </c>
      <c r="H37" s="1" t="s">
        <v>10</v>
      </c>
      <c r="I37" s="1">
        <v>2009</v>
      </c>
      <c r="J37" s="5">
        <f t="shared" si="0"/>
        <v>12</v>
      </c>
      <c r="K37" s="2">
        <f t="shared" si="1"/>
        <v>321.44816666666668</v>
      </c>
    </row>
    <row r="38" spans="1:11" x14ac:dyDescent="0.3">
      <c r="A38" s="1">
        <v>1993</v>
      </c>
      <c r="B38" s="1">
        <v>8</v>
      </c>
      <c r="C38" s="1">
        <v>15</v>
      </c>
      <c r="D38" s="6">
        <v>1993.6191779999999</v>
      </c>
      <c r="E38" s="3">
        <v>309.38900000000001</v>
      </c>
      <c r="F38" s="3">
        <v>0.33610000000000001</v>
      </c>
      <c r="G38" s="3">
        <v>0.20999100000000001</v>
      </c>
      <c r="H38" s="1" t="s">
        <v>10</v>
      </c>
      <c r="I38" s="1">
        <v>2010</v>
      </c>
      <c r="J38" s="5">
        <f t="shared" si="0"/>
        <v>12</v>
      </c>
      <c r="K38" s="2">
        <f t="shared" si="1"/>
        <v>322.46591666666666</v>
      </c>
    </row>
    <row r="39" spans="1:11" x14ac:dyDescent="0.3">
      <c r="A39" s="1">
        <v>1993</v>
      </c>
      <c r="B39" s="1">
        <v>9</v>
      </c>
      <c r="C39" s="1">
        <v>15</v>
      </c>
      <c r="D39" s="6">
        <v>1993.7041099999999</v>
      </c>
      <c r="E39" s="3">
        <v>309.48200000000003</v>
      </c>
      <c r="F39" s="3">
        <v>8.2100000000000006E-2</v>
      </c>
      <c r="G39" s="3">
        <v>0.73599199999999998</v>
      </c>
      <c r="H39" s="1" t="s">
        <v>10</v>
      </c>
      <c r="I39" s="1">
        <v>2011</v>
      </c>
      <c r="J39" s="5">
        <f t="shared" si="0"/>
        <v>12</v>
      </c>
      <c r="K39" s="2">
        <f t="shared" si="1"/>
        <v>323.31741666666665</v>
      </c>
    </row>
    <row r="40" spans="1:11" x14ac:dyDescent="0.3">
      <c r="A40" s="1">
        <v>1993</v>
      </c>
      <c r="B40" s="1">
        <v>10</v>
      </c>
      <c r="C40" s="1">
        <v>15</v>
      </c>
      <c r="D40" s="6">
        <v>1993.7863010000001</v>
      </c>
      <c r="E40" s="3">
        <v>309.64</v>
      </c>
      <c r="F40" s="3">
        <v>0.26529999999999998</v>
      </c>
      <c r="G40" s="3">
        <v>0.77902199999999999</v>
      </c>
      <c r="H40" s="1" t="s">
        <v>10</v>
      </c>
      <c r="I40" s="1">
        <v>2012</v>
      </c>
      <c r="J40" s="5">
        <f t="shared" si="0"/>
        <v>12</v>
      </c>
      <c r="K40" s="2">
        <f t="shared" si="1"/>
        <v>324.35908333333339</v>
      </c>
    </row>
    <row r="41" spans="1:11" x14ac:dyDescent="0.3">
      <c r="A41" s="1">
        <v>1993</v>
      </c>
      <c r="B41" s="1">
        <v>11</v>
      </c>
      <c r="C41" s="1">
        <v>15</v>
      </c>
      <c r="D41" s="6">
        <v>1993.8712330000001</v>
      </c>
      <c r="E41" s="3">
        <v>309.65499999999997</v>
      </c>
      <c r="F41" s="3">
        <v>0.4153</v>
      </c>
      <c r="G41" s="3">
        <v>0.64300500000000005</v>
      </c>
      <c r="H41" s="1" t="s">
        <v>10</v>
      </c>
      <c r="I41" s="1">
        <v>2013</v>
      </c>
      <c r="J41" s="5">
        <f t="shared" si="0"/>
        <v>12</v>
      </c>
      <c r="K41" s="2">
        <f t="shared" si="1"/>
        <v>325.17933333333332</v>
      </c>
    </row>
    <row r="42" spans="1:11" x14ac:dyDescent="0.3">
      <c r="A42" s="1">
        <v>1993</v>
      </c>
      <c r="B42" s="1">
        <v>12</v>
      </c>
      <c r="C42" s="1">
        <v>15</v>
      </c>
      <c r="D42" s="6">
        <v>1993.9534249999999</v>
      </c>
      <c r="E42" s="3">
        <v>309.46199999999999</v>
      </c>
      <c r="F42" s="3">
        <v>4.6600000000000003E-2</v>
      </c>
      <c r="G42" s="3">
        <v>0.97198499999999999</v>
      </c>
      <c r="H42" s="1" t="s">
        <v>10</v>
      </c>
      <c r="I42" s="1">
        <v>2014</v>
      </c>
      <c r="J42" s="5">
        <f t="shared" si="0"/>
        <v>12</v>
      </c>
      <c r="K42" s="2">
        <f t="shared" si="1"/>
        <v>326.14691666666664</v>
      </c>
    </row>
    <row r="43" spans="1:11" x14ac:dyDescent="0.3">
      <c r="A43" s="1">
        <v>1994</v>
      </c>
      <c r="B43" s="1">
        <v>1</v>
      </c>
      <c r="C43" s="1">
        <v>15</v>
      </c>
      <c r="D43" s="6">
        <v>1994.038356</v>
      </c>
      <c r="E43" s="3">
        <v>309.34800000000001</v>
      </c>
      <c r="F43" s="3">
        <v>2.7900000000000001E-2</v>
      </c>
      <c r="G43" s="3">
        <v>0.97598300000000004</v>
      </c>
      <c r="H43" s="1" t="s">
        <v>10</v>
      </c>
      <c r="I43" s="1">
        <v>2015</v>
      </c>
      <c r="J43" s="5">
        <f t="shared" si="0"/>
        <v>12</v>
      </c>
      <c r="K43" s="2">
        <f t="shared" si="1"/>
        <v>327.30783333333341</v>
      </c>
    </row>
    <row r="44" spans="1:11" x14ac:dyDescent="0.3">
      <c r="A44" s="1">
        <v>1994</v>
      </c>
      <c r="B44" s="1">
        <v>2</v>
      </c>
      <c r="C44" s="1">
        <v>15</v>
      </c>
      <c r="D44" s="6">
        <v>1994.123288</v>
      </c>
      <c r="E44" s="3">
        <v>309.36</v>
      </c>
      <c r="F44" s="3">
        <v>5.1499999999999997E-2</v>
      </c>
      <c r="G44" s="3">
        <v>0.794983</v>
      </c>
      <c r="H44" s="1" t="s">
        <v>10</v>
      </c>
      <c r="I44" s="1">
        <v>2016</v>
      </c>
      <c r="J44" s="5">
        <f t="shared" si="0"/>
        <v>12</v>
      </c>
      <c r="K44" s="2">
        <f t="shared" si="1"/>
        <v>327.97641666666669</v>
      </c>
    </row>
    <row r="45" spans="1:11" x14ac:dyDescent="0.3">
      <c r="A45" s="1">
        <v>1994</v>
      </c>
      <c r="B45" s="1">
        <v>3</v>
      </c>
      <c r="C45" s="1">
        <v>15</v>
      </c>
      <c r="D45" s="6">
        <v>1994.2</v>
      </c>
      <c r="E45" s="3">
        <v>309.62599999999998</v>
      </c>
      <c r="F45" s="3">
        <v>0.17100000000000001</v>
      </c>
      <c r="G45" s="3">
        <v>0.684998</v>
      </c>
      <c r="H45" s="1" t="s">
        <v>10</v>
      </c>
      <c r="I45" s="1">
        <v>2017</v>
      </c>
      <c r="J45" s="5">
        <f t="shared" si="0"/>
        <v>12</v>
      </c>
      <c r="K45" s="2">
        <f t="shared" si="1"/>
        <v>328.86966666666666</v>
      </c>
    </row>
    <row r="46" spans="1:11" x14ac:dyDescent="0.3">
      <c r="A46" s="1">
        <v>1994</v>
      </c>
      <c r="B46" s="1">
        <v>4</v>
      </c>
      <c r="C46" s="1">
        <v>15</v>
      </c>
      <c r="D46" s="6">
        <v>1994.284932</v>
      </c>
      <c r="E46" s="3">
        <v>309.62700000000001</v>
      </c>
      <c r="F46" s="3">
        <v>0.38890000000000002</v>
      </c>
      <c r="G46" s="3">
        <v>0.45696999999999999</v>
      </c>
      <c r="H46" s="1" t="s">
        <v>10</v>
      </c>
      <c r="I46" s="1">
        <v>2018</v>
      </c>
      <c r="J46" s="5">
        <f t="shared" si="0"/>
        <v>12</v>
      </c>
      <c r="K46" s="2">
        <f t="shared" si="1"/>
        <v>330.38691666666671</v>
      </c>
    </row>
    <row r="47" spans="1:11" x14ac:dyDescent="0.3">
      <c r="A47" s="1">
        <v>1994</v>
      </c>
      <c r="B47" s="1">
        <v>5</v>
      </c>
      <c r="C47" s="1">
        <v>15</v>
      </c>
      <c r="D47" s="6">
        <v>1994.367123</v>
      </c>
      <c r="E47" s="3">
        <v>309.65100000000001</v>
      </c>
      <c r="F47" s="3">
        <v>0.31419999999999998</v>
      </c>
      <c r="G47" s="3">
        <v>0.56100499999999998</v>
      </c>
      <c r="H47" s="1" t="s">
        <v>10</v>
      </c>
      <c r="I47" s="1">
        <v>2019</v>
      </c>
      <c r="J47" s="5">
        <f t="shared" si="0"/>
        <v>12</v>
      </c>
      <c r="K47" s="2">
        <f t="shared" si="1"/>
        <v>330.9209166666667</v>
      </c>
    </row>
    <row r="48" spans="1:11" x14ac:dyDescent="0.3">
      <c r="A48" s="1">
        <v>1994</v>
      </c>
      <c r="B48" s="1">
        <v>6</v>
      </c>
      <c r="C48" s="1">
        <v>15</v>
      </c>
      <c r="D48" s="6">
        <v>1994.452055</v>
      </c>
      <c r="E48" s="3">
        <v>310.00400000000002</v>
      </c>
      <c r="F48" s="3">
        <v>0.3301</v>
      </c>
      <c r="G48" s="3">
        <v>0.94500700000000004</v>
      </c>
      <c r="H48" s="1" t="s">
        <v>10</v>
      </c>
      <c r="I48" s="1">
        <v>2020</v>
      </c>
      <c r="J48" s="5">
        <f t="shared" si="0"/>
        <v>12</v>
      </c>
      <c r="K48" s="2">
        <f t="shared" si="1"/>
        <v>331.85858333333329</v>
      </c>
    </row>
    <row r="49" spans="1:11" x14ac:dyDescent="0.3">
      <c r="A49" s="1">
        <v>1994</v>
      </c>
      <c r="B49" s="1">
        <v>7</v>
      </c>
      <c r="C49" s="1">
        <v>15</v>
      </c>
      <c r="D49" s="6">
        <v>1994.5342470000001</v>
      </c>
      <c r="E49" s="3">
        <v>310.12</v>
      </c>
      <c r="F49" s="3">
        <v>0.23230000000000001</v>
      </c>
      <c r="G49" s="3">
        <v>1.1369899999999999</v>
      </c>
      <c r="H49" s="1" t="s">
        <v>10</v>
      </c>
      <c r="I49" s="1">
        <v>2021</v>
      </c>
      <c r="J49" s="5">
        <f t="shared" si="0"/>
        <v>12</v>
      </c>
      <c r="K49" s="2">
        <f t="shared" si="1"/>
        <v>333.39083333333338</v>
      </c>
    </row>
    <row r="50" spans="1:11" x14ac:dyDescent="0.3">
      <c r="A50" s="1">
        <v>1994</v>
      </c>
      <c r="B50" s="1">
        <v>8</v>
      </c>
      <c r="C50" s="1">
        <v>15</v>
      </c>
      <c r="D50" s="6">
        <v>1994.6191779999999</v>
      </c>
      <c r="E50" s="3">
        <v>310.18400000000003</v>
      </c>
      <c r="F50" s="3">
        <v>0.32869999999999999</v>
      </c>
      <c r="G50" s="3">
        <v>0.93502799999999997</v>
      </c>
      <c r="H50" s="1" t="s">
        <v>10</v>
      </c>
      <c r="I50" s="1">
        <v>2022</v>
      </c>
      <c r="J50" s="5">
        <f t="shared" si="0"/>
        <v>12</v>
      </c>
      <c r="K50" s="2">
        <f t="shared" si="1"/>
        <v>334.89175</v>
      </c>
    </row>
    <row r="51" spans="1:11" x14ac:dyDescent="0.3">
      <c r="A51" s="1">
        <v>1994</v>
      </c>
      <c r="B51" s="1">
        <v>9</v>
      </c>
      <c r="C51" s="1">
        <v>15</v>
      </c>
      <c r="D51" s="6">
        <v>1994.7041099999999</v>
      </c>
      <c r="E51" s="3">
        <v>310.16699999999997</v>
      </c>
      <c r="F51" s="3">
        <v>0.2268</v>
      </c>
      <c r="G51" s="3">
        <v>0.39199800000000001</v>
      </c>
      <c r="H51" s="1" t="s">
        <v>10</v>
      </c>
      <c r="I51" s="1">
        <v>2023</v>
      </c>
      <c r="J51" s="5">
        <f t="shared" si="0"/>
        <v>12</v>
      </c>
      <c r="K51" s="2">
        <f t="shared" si="1"/>
        <v>336.05608333333333</v>
      </c>
    </row>
    <row r="52" spans="1:11" x14ac:dyDescent="0.3">
      <c r="A52" s="1">
        <v>1994</v>
      </c>
      <c r="B52" s="1">
        <v>10</v>
      </c>
      <c r="C52" s="1">
        <v>15</v>
      </c>
      <c r="D52" s="6">
        <v>1994.7863010000001</v>
      </c>
      <c r="E52" s="3">
        <v>310.09699999999998</v>
      </c>
      <c r="F52" s="3">
        <v>0.32300000000000001</v>
      </c>
      <c r="G52" s="3">
        <v>0.367981</v>
      </c>
      <c r="H52" s="1" t="s">
        <v>10</v>
      </c>
    </row>
    <row r="53" spans="1:11" x14ac:dyDescent="0.3">
      <c r="A53" s="1">
        <v>1994</v>
      </c>
      <c r="B53" s="1">
        <v>11</v>
      </c>
      <c r="C53" s="1">
        <v>15</v>
      </c>
      <c r="D53" s="6">
        <v>1994.8712330000001</v>
      </c>
      <c r="E53" s="3">
        <v>310.21600000000001</v>
      </c>
      <c r="F53" s="3">
        <v>0.3301</v>
      </c>
      <c r="G53" s="3">
        <v>0.56399500000000002</v>
      </c>
      <c r="H53" s="1" t="s">
        <v>10</v>
      </c>
    </row>
    <row r="54" spans="1:11" x14ac:dyDescent="0.3">
      <c r="A54" s="1">
        <v>1994</v>
      </c>
      <c r="B54" s="1">
        <v>12</v>
      </c>
      <c r="C54" s="1">
        <v>15</v>
      </c>
      <c r="D54" s="6">
        <v>1994.9534249999999</v>
      </c>
      <c r="E54" s="3">
        <v>310.40699999999998</v>
      </c>
      <c r="F54" s="3">
        <v>0.27829999999999999</v>
      </c>
      <c r="G54" s="3">
        <v>0.26901199999999997</v>
      </c>
      <c r="H54" s="1" t="s">
        <v>10</v>
      </c>
    </row>
    <row r="55" spans="1:11" x14ac:dyDescent="0.3">
      <c r="A55" s="1">
        <v>1995</v>
      </c>
      <c r="B55" s="1">
        <v>1</v>
      </c>
      <c r="C55" s="1">
        <v>15</v>
      </c>
      <c r="D55" s="6">
        <v>1995.038356</v>
      </c>
      <c r="E55" s="3">
        <v>310.48500000000001</v>
      </c>
      <c r="F55" s="3">
        <v>0.32919999999999999</v>
      </c>
      <c r="G55" s="3">
        <v>6.5002400000000002E-2</v>
      </c>
      <c r="H55" s="1" t="s">
        <v>10</v>
      </c>
    </row>
    <row r="56" spans="1:11" x14ac:dyDescent="0.3">
      <c r="A56" s="1">
        <v>1995</v>
      </c>
      <c r="B56" s="1">
        <v>2</v>
      </c>
      <c r="C56" s="1">
        <v>15</v>
      </c>
      <c r="D56" s="6">
        <v>1995.123288</v>
      </c>
      <c r="E56" s="3">
        <v>310.29500000000002</v>
      </c>
      <c r="F56" s="3">
        <v>0.21759999999999999</v>
      </c>
      <c r="G56" s="3">
        <v>0.34600799999999998</v>
      </c>
      <c r="H56" s="1" t="s">
        <v>10</v>
      </c>
    </row>
    <row r="57" spans="1:11" x14ac:dyDescent="0.3">
      <c r="A57" s="1">
        <v>1995</v>
      </c>
      <c r="B57" s="1">
        <v>3</v>
      </c>
      <c r="C57" s="1">
        <v>15</v>
      </c>
      <c r="D57" s="6">
        <v>1995.2</v>
      </c>
      <c r="E57" s="3">
        <v>310.01799999999997</v>
      </c>
      <c r="F57" s="3">
        <v>0.33179999999999998</v>
      </c>
      <c r="G57" s="3">
        <v>0.75302100000000005</v>
      </c>
      <c r="H57" s="1" t="s">
        <v>10</v>
      </c>
    </row>
    <row r="58" spans="1:11" x14ac:dyDescent="0.3">
      <c r="A58" s="1">
        <v>1995</v>
      </c>
      <c r="B58" s="1">
        <v>4</v>
      </c>
      <c r="C58" s="1">
        <v>15</v>
      </c>
      <c r="D58" s="6">
        <v>1995.284932</v>
      </c>
      <c r="E58" s="3">
        <v>309.995</v>
      </c>
      <c r="F58" s="3">
        <v>0.31730000000000003</v>
      </c>
      <c r="G58" s="3">
        <v>0.860016</v>
      </c>
      <c r="H58" s="1" t="s">
        <v>10</v>
      </c>
    </row>
    <row r="59" spans="1:11" x14ac:dyDescent="0.3">
      <c r="A59" s="1">
        <v>1995</v>
      </c>
      <c r="B59" s="1">
        <v>5</v>
      </c>
      <c r="C59" s="1">
        <v>15</v>
      </c>
      <c r="D59" s="6">
        <v>1995.367123</v>
      </c>
      <c r="E59" s="3">
        <v>310.21499999999997</v>
      </c>
      <c r="F59" s="3">
        <v>0.27150000000000002</v>
      </c>
      <c r="G59" s="3">
        <v>0.80300899999999997</v>
      </c>
      <c r="H59" s="1" t="s">
        <v>10</v>
      </c>
    </row>
    <row r="60" spans="1:11" x14ac:dyDescent="0.3">
      <c r="A60" s="1">
        <v>1995</v>
      </c>
      <c r="B60" s="1">
        <v>6</v>
      </c>
      <c r="C60" s="1">
        <v>15</v>
      </c>
      <c r="D60" s="6">
        <v>1995.452055</v>
      </c>
      <c r="E60" s="3">
        <v>310.27300000000002</v>
      </c>
      <c r="F60" s="3">
        <v>0.2782</v>
      </c>
      <c r="G60" s="3">
        <v>0.81698599999999999</v>
      </c>
      <c r="H60" s="1" t="s">
        <v>10</v>
      </c>
    </row>
    <row r="61" spans="1:11" x14ac:dyDescent="0.3">
      <c r="A61" s="1">
        <v>1995</v>
      </c>
      <c r="B61" s="1">
        <v>7</v>
      </c>
      <c r="C61" s="1">
        <v>15</v>
      </c>
      <c r="D61" s="6">
        <v>1995.5342470000001</v>
      </c>
      <c r="E61" s="3">
        <v>310.185</v>
      </c>
      <c r="F61" s="3">
        <v>0.34770000000000001</v>
      </c>
      <c r="G61" s="3">
        <v>0.72402999999999995</v>
      </c>
      <c r="H61" s="1" t="s">
        <v>10</v>
      </c>
    </row>
    <row r="62" spans="1:11" x14ac:dyDescent="0.3">
      <c r="A62" s="1">
        <v>1995</v>
      </c>
      <c r="B62" s="1">
        <v>8</v>
      </c>
      <c r="C62" s="1">
        <v>15</v>
      </c>
      <c r="D62" s="6">
        <v>1995.6191779999999</v>
      </c>
      <c r="E62" s="3">
        <v>310.52999999999997</v>
      </c>
      <c r="F62" s="3">
        <v>0.30080000000000001</v>
      </c>
      <c r="G62" s="3">
        <v>0.69299299999999997</v>
      </c>
      <c r="H62" s="1" t="s">
        <v>10</v>
      </c>
    </row>
    <row r="63" spans="1:11" x14ac:dyDescent="0.3">
      <c r="A63" s="1">
        <v>1995</v>
      </c>
      <c r="B63" s="1">
        <v>9</v>
      </c>
      <c r="C63" s="1">
        <v>15</v>
      </c>
      <c r="D63" s="6">
        <v>1995.7041099999999</v>
      </c>
      <c r="E63" s="3">
        <v>310.92</v>
      </c>
      <c r="F63" s="3">
        <v>0.22620000000000001</v>
      </c>
      <c r="G63" s="3">
        <v>0.91598500000000005</v>
      </c>
      <c r="H63" s="1" t="s">
        <v>10</v>
      </c>
    </row>
    <row r="64" spans="1:11" x14ac:dyDescent="0.3">
      <c r="A64" s="1">
        <v>1995</v>
      </c>
      <c r="B64" s="1">
        <v>10</v>
      </c>
      <c r="C64" s="1">
        <v>15</v>
      </c>
      <c r="D64" s="6">
        <v>1995.7863010000001</v>
      </c>
      <c r="E64" s="3">
        <v>310.95699999999999</v>
      </c>
      <c r="F64" s="3">
        <v>0.22220000000000001</v>
      </c>
      <c r="G64" s="3">
        <v>0.83999599999999996</v>
      </c>
      <c r="H64" s="1" t="s">
        <v>10</v>
      </c>
    </row>
    <row r="65" spans="1:8" x14ac:dyDescent="0.3">
      <c r="A65" s="1">
        <v>1995</v>
      </c>
      <c r="B65" s="1">
        <v>11</v>
      </c>
      <c r="C65" s="1">
        <v>15</v>
      </c>
      <c r="D65" s="6">
        <v>1995.8712330000001</v>
      </c>
      <c r="E65" s="3">
        <v>311.01900000000001</v>
      </c>
      <c r="F65" s="3">
        <v>0.2407</v>
      </c>
      <c r="G65" s="3">
        <v>0.54101600000000005</v>
      </c>
      <c r="H65" s="1" t="s">
        <v>10</v>
      </c>
    </row>
    <row r="66" spans="1:8" x14ac:dyDescent="0.3">
      <c r="A66" s="1">
        <v>1995</v>
      </c>
      <c r="B66" s="1">
        <v>12</v>
      </c>
      <c r="C66" s="1">
        <v>15</v>
      </c>
      <c r="D66" s="6">
        <v>1995.9534249999999</v>
      </c>
      <c r="E66" s="3">
        <v>311.22399999999999</v>
      </c>
      <c r="F66" s="3">
        <v>0.26440000000000002</v>
      </c>
      <c r="G66" s="3">
        <v>0.56698599999999999</v>
      </c>
      <c r="H66" s="1" t="s">
        <v>10</v>
      </c>
    </row>
    <row r="67" spans="1:8" x14ac:dyDescent="0.3">
      <c r="A67" s="1">
        <v>1996</v>
      </c>
      <c r="B67" s="1">
        <v>1</v>
      </c>
      <c r="C67" s="1">
        <v>15</v>
      </c>
      <c r="D67" s="6">
        <v>1996.0382509999999</v>
      </c>
      <c r="E67" s="3">
        <v>311.209</v>
      </c>
      <c r="F67" s="3">
        <v>0.249</v>
      </c>
      <c r="G67" s="3">
        <v>0.84899899999999995</v>
      </c>
      <c r="H67" s="1" t="s">
        <v>10</v>
      </c>
    </row>
    <row r="68" spans="1:8" x14ac:dyDescent="0.3">
      <c r="A68" s="1">
        <v>1996</v>
      </c>
      <c r="B68" s="1">
        <v>2</v>
      </c>
      <c r="C68" s="1">
        <v>15</v>
      </c>
      <c r="D68" s="6">
        <v>1996.1229510000001</v>
      </c>
      <c r="E68" s="3">
        <v>310.988</v>
      </c>
      <c r="F68" s="3">
        <v>0.2772</v>
      </c>
      <c r="G68" s="3">
        <v>0.78601100000000002</v>
      </c>
      <c r="H68" s="1" t="s">
        <v>10</v>
      </c>
    </row>
    <row r="69" spans="1:8" x14ac:dyDescent="0.3">
      <c r="A69" s="1">
        <v>1996</v>
      </c>
      <c r="B69" s="1">
        <v>3</v>
      </c>
      <c r="C69" s="1">
        <v>15</v>
      </c>
      <c r="D69" s="6">
        <v>1996.202186</v>
      </c>
      <c r="E69" s="3">
        <v>310.93400000000003</v>
      </c>
      <c r="F69" s="3">
        <v>0.18229999999999999</v>
      </c>
      <c r="G69" s="3">
        <v>0.53698699999999999</v>
      </c>
      <c r="H69" s="1" t="s">
        <v>10</v>
      </c>
    </row>
    <row r="70" spans="1:8" x14ac:dyDescent="0.3">
      <c r="A70" s="1">
        <v>1996</v>
      </c>
      <c r="B70" s="1">
        <v>4</v>
      </c>
      <c r="C70" s="1">
        <v>15</v>
      </c>
      <c r="D70" s="6">
        <v>1996.286885</v>
      </c>
      <c r="E70" s="3">
        <v>310.83499999999998</v>
      </c>
      <c r="F70" s="3">
        <v>0.29070000000000001</v>
      </c>
      <c r="G70" s="3">
        <v>0.57901000000000002</v>
      </c>
      <c r="H70" s="1" t="s">
        <v>10</v>
      </c>
    </row>
    <row r="71" spans="1:8" x14ac:dyDescent="0.3">
      <c r="A71" s="1">
        <v>1996</v>
      </c>
      <c r="B71" s="1">
        <v>5</v>
      </c>
      <c r="C71" s="1">
        <v>15</v>
      </c>
      <c r="D71" s="6">
        <v>1996.3688520000001</v>
      </c>
      <c r="E71" s="3">
        <v>310.75599999999997</v>
      </c>
      <c r="F71" s="3">
        <v>0.27829999999999999</v>
      </c>
      <c r="G71" s="3">
        <v>0.57498199999999999</v>
      </c>
      <c r="H71" s="1" t="s">
        <v>10</v>
      </c>
    </row>
    <row r="72" spans="1:8" x14ac:dyDescent="0.3">
      <c r="A72" s="1">
        <v>1996</v>
      </c>
      <c r="B72" s="1">
        <v>6</v>
      </c>
      <c r="C72" s="1">
        <v>15</v>
      </c>
      <c r="D72" s="6">
        <v>1996.4535519999999</v>
      </c>
      <c r="E72" s="3">
        <v>310.83999999999997</v>
      </c>
      <c r="F72" s="3">
        <v>0.3165</v>
      </c>
      <c r="G72" s="3">
        <v>0.57299800000000001</v>
      </c>
      <c r="H72" s="1" t="s">
        <v>10</v>
      </c>
    </row>
    <row r="73" spans="1:8" x14ac:dyDescent="0.3">
      <c r="A73" s="1">
        <v>1996</v>
      </c>
      <c r="B73" s="1">
        <v>7</v>
      </c>
      <c r="C73" s="1">
        <v>15</v>
      </c>
      <c r="D73" s="6">
        <v>1996.535519</v>
      </c>
      <c r="E73" s="3">
        <v>311.03399999999999</v>
      </c>
      <c r="F73" s="3">
        <v>0.24859999999999999</v>
      </c>
      <c r="G73" s="3">
        <v>0.779999</v>
      </c>
      <c r="H73" s="1" t="s">
        <v>10</v>
      </c>
    </row>
    <row r="74" spans="1:8" x14ac:dyDescent="0.3">
      <c r="A74" s="1">
        <v>1996</v>
      </c>
      <c r="B74" s="1">
        <v>8</v>
      </c>
      <c r="C74" s="1">
        <v>15</v>
      </c>
      <c r="D74" s="6">
        <v>1996.6202189999999</v>
      </c>
      <c r="E74" s="3">
        <v>311.31599999999997</v>
      </c>
      <c r="F74" s="3">
        <v>0.30499999999999999</v>
      </c>
      <c r="G74" s="3">
        <v>0.96899400000000002</v>
      </c>
      <c r="H74" s="1" t="s">
        <v>10</v>
      </c>
    </row>
    <row r="75" spans="1:8" x14ac:dyDescent="0.3">
      <c r="A75" s="1">
        <v>1996</v>
      </c>
      <c r="B75" s="1">
        <v>9</v>
      </c>
      <c r="C75" s="1">
        <v>15</v>
      </c>
      <c r="D75" s="6">
        <v>1996.7049179999999</v>
      </c>
      <c r="E75" s="3">
        <v>311.45699999999999</v>
      </c>
      <c r="F75" s="3">
        <v>0.3145</v>
      </c>
      <c r="G75" s="3">
        <v>1.0120199999999999</v>
      </c>
      <c r="H75" s="1" t="s">
        <v>10</v>
      </c>
    </row>
    <row r="76" spans="1:8" x14ac:dyDescent="0.3">
      <c r="A76" s="1">
        <v>1996</v>
      </c>
      <c r="B76" s="1">
        <v>10</v>
      </c>
      <c r="C76" s="1">
        <v>15</v>
      </c>
      <c r="D76" s="6">
        <v>1996.786885</v>
      </c>
      <c r="E76" s="3">
        <v>311.536</v>
      </c>
      <c r="F76" s="3">
        <v>0.26119999999999999</v>
      </c>
      <c r="G76" s="3">
        <v>0.93301400000000001</v>
      </c>
      <c r="H76" s="1" t="s">
        <v>10</v>
      </c>
    </row>
    <row r="77" spans="1:8" x14ac:dyDescent="0.3">
      <c r="A77" s="1">
        <v>1996</v>
      </c>
      <c r="B77" s="1">
        <v>11</v>
      </c>
      <c r="C77" s="1">
        <v>15</v>
      </c>
      <c r="D77" s="6">
        <v>1996.8715850000001</v>
      </c>
      <c r="E77" s="3">
        <v>311.59399999999999</v>
      </c>
      <c r="F77" s="3">
        <v>0.19270000000000001</v>
      </c>
      <c r="G77" s="3">
        <v>1.0019800000000001</v>
      </c>
      <c r="H77" s="1" t="s">
        <v>10</v>
      </c>
    </row>
    <row r="78" spans="1:8" x14ac:dyDescent="0.3">
      <c r="A78" s="1">
        <v>1996</v>
      </c>
      <c r="B78" s="1">
        <v>12</v>
      </c>
      <c r="C78" s="1">
        <v>15</v>
      </c>
      <c r="D78" s="6">
        <v>1996.9535519999999</v>
      </c>
      <c r="E78" s="3">
        <v>311.79700000000003</v>
      </c>
      <c r="F78" s="3">
        <v>0.19950000000000001</v>
      </c>
      <c r="G78" s="3">
        <v>1.1419999999999999</v>
      </c>
      <c r="H78" s="1" t="s">
        <v>10</v>
      </c>
    </row>
    <row r="79" spans="1:8" x14ac:dyDescent="0.3">
      <c r="A79" s="1">
        <v>1997</v>
      </c>
      <c r="B79" s="1">
        <v>1</v>
      </c>
      <c r="C79" s="1">
        <v>15</v>
      </c>
      <c r="D79" s="6">
        <v>1997.038356</v>
      </c>
      <c r="E79" s="3">
        <v>311.98899999999998</v>
      </c>
      <c r="F79" s="3">
        <v>0.1406</v>
      </c>
      <c r="G79" s="3">
        <v>0.93600499999999998</v>
      </c>
      <c r="H79" s="1" t="s">
        <v>10</v>
      </c>
    </row>
    <row r="80" spans="1:8" x14ac:dyDescent="0.3">
      <c r="A80" s="1">
        <v>1997</v>
      </c>
      <c r="B80" s="1">
        <v>2</v>
      </c>
      <c r="C80" s="1">
        <v>15</v>
      </c>
      <c r="D80" s="6">
        <v>1997.123288</v>
      </c>
      <c r="E80" s="3">
        <v>311.95699999999999</v>
      </c>
      <c r="F80" s="3">
        <v>0.23860000000000001</v>
      </c>
      <c r="G80" s="3">
        <v>0.88897700000000002</v>
      </c>
      <c r="H80" s="1" t="s">
        <v>10</v>
      </c>
    </row>
    <row r="81" spans="1:8" x14ac:dyDescent="0.3">
      <c r="A81" s="1">
        <v>1997</v>
      </c>
      <c r="B81" s="1">
        <v>3</v>
      </c>
      <c r="C81" s="1">
        <v>15</v>
      </c>
      <c r="D81" s="6">
        <v>1997.2</v>
      </c>
      <c r="E81" s="3">
        <v>311.94600000000003</v>
      </c>
      <c r="F81" s="3">
        <v>0.36859999999999998</v>
      </c>
      <c r="G81" s="3">
        <v>1.1419999999999999</v>
      </c>
      <c r="H81" s="1" t="s">
        <v>10</v>
      </c>
    </row>
    <row r="82" spans="1:8" x14ac:dyDescent="0.3">
      <c r="A82" s="1">
        <v>1997</v>
      </c>
      <c r="B82" s="1">
        <v>4</v>
      </c>
      <c r="C82" s="1">
        <v>15</v>
      </c>
      <c r="D82" s="6">
        <v>1997.284932</v>
      </c>
      <c r="E82" s="3">
        <v>311.76799999999997</v>
      </c>
      <c r="F82" s="3">
        <v>0.28460000000000002</v>
      </c>
      <c r="G82" s="3">
        <v>1.2370000000000001</v>
      </c>
      <c r="H82" s="1" t="s">
        <v>10</v>
      </c>
    </row>
    <row r="83" spans="1:8" x14ac:dyDescent="0.3">
      <c r="A83" s="1">
        <v>1997</v>
      </c>
      <c r="B83" s="1">
        <v>5</v>
      </c>
      <c r="C83" s="1">
        <v>15</v>
      </c>
      <c r="D83" s="6">
        <v>1997.367123</v>
      </c>
      <c r="E83" s="3">
        <v>311.75799999999998</v>
      </c>
      <c r="F83" s="3">
        <v>0.30809999999999998</v>
      </c>
      <c r="G83" s="3">
        <v>1.28302</v>
      </c>
      <c r="H83" s="1" t="s">
        <v>10</v>
      </c>
    </row>
    <row r="84" spans="1:8" x14ac:dyDescent="0.3">
      <c r="A84" s="1">
        <v>1997</v>
      </c>
      <c r="B84" s="1">
        <v>6</v>
      </c>
      <c r="C84" s="1">
        <v>15</v>
      </c>
      <c r="D84" s="6">
        <v>1997.452055</v>
      </c>
      <c r="E84" s="3">
        <v>311.98200000000003</v>
      </c>
      <c r="F84" s="3">
        <v>0.31929999999999997</v>
      </c>
      <c r="G84" s="3">
        <v>1.1189899999999999</v>
      </c>
      <c r="H84" s="1" t="s">
        <v>10</v>
      </c>
    </row>
    <row r="85" spans="1:8" x14ac:dyDescent="0.3">
      <c r="A85" s="1">
        <v>1997</v>
      </c>
      <c r="B85" s="1">
        <v>7</v>
      </c>
      <c r="C85" s="1">
        <v>15</v>
      </c>
      <c r="D85" s="6">
        <v>1997.5342470000001</v>
      </c>
      <c r="E85" s="3">
        <v>311.97000000000003</v>
      </c>
      <c r="F85" s="3">
        <v>0.34179999999999999</v>
      </c>
      <c r="G85" s="3">
        <v>0.91098000000000001</v>
      </c>
      <c r="H85" s="1" t="s">
        <v>10</v>
      </c>
    </row>
    <row r="86" spans="1:8" x14ac:dyDescent="0.3">
      <c r="A86" s="1">
        <v>1997</v>
      </c>
      <c r="B86" s="1">
        <v>8</v>
      </c>
      <c r="C86" s="1">
        <v>15</v>
      </c>
      <c r="D86" s="6">
        <v>1997.6191779999999</v>
      </c>
      <c r="E86" s="3">
        <v>312.20499999999998</v>
      </c>
      <c r="F86" s="3">
        <v>0.25430000000000003</v>
      </c>
      <c r="G86" s="3">
        <v>0.83300799999999997</v>
      </c>
      <c r="H86" s="1" t="s">
        <v>10</v>
      </c>
    </row>
    <row r="87" spans="1:8" x14ac:dyDescent="0.3">
      <c r="A87" s="1">
        <v>1997</v>
      </c>
      <c r="B87" s="1">
        <v>9</v>
      </c>
      <c r="C87" s="1">
        <v>15</v>
      </c>
      <c r="D87" s="6">
        <v>1997.7041099999999</v>
      </c>
      <c r="E87" s="3">
        <v>312.59899999999999</v>
      </c>
      <c r="F87" s="3">
        <v>0.2258</v>
      </c>
      <c r="G87" s="3">
        <v>0.63800000000000001</v>
      </c>
      <c r="H87" s="1" t="s">
        <v>10</v>
      </c>
    </row>
    <row r="88" spans="1:8" x14ac:dyDescent="0.3">
      <c r="A88" s="1">
        <v>1997</v>
      </c>
      <c r="B88" s="1">
        <v>10</v>
      </c>
      <c r="C88" s="1">
        <v>15</v>
      </c>
      <c r="D88" s="6">
        <v>1997.7863010000001</v>
      </c>
      <c r="E88" s="3">
        <v>312.77300000000002</v>
      </c>
      <c r="F88" s="3">
        <v>0.33150000000000002</v>
      </c>
      <c r="G88" s="3">
        <v>0.734985</v>
      </c>
      <c r="H88" s="1" t="s">
        <v>10</v>
      </c>
    </row>
    <row r="89" spans="1:8" x14ac:dyDescent="0.3">
      <c r="A89" s="1">
        <v>1997</v>
      </c>
      <c r="B89" s="1">
        <v>11</v>
      </c>
      <c r="C89" s="1">
        <v>15</v>
      </c>
      <c r="D89" s="6">
        <v>1997.8712330000001</v>
      </c>
      <c r="E89" s="3">
        <v>312.87700000000001</v>
      </c>
      <c r="F89" s="3">
        <v>0.1321</v>
      </c>
      <c r="G89" s="3">
        <v>0.78500400000000004</v>
      </c>
      <c r="H89" s="1" t="s">
        <v>10</v>
      </c>
    </row>
    <row r="90" spans="1:8" x14ac:dyDescent="0.3">
      <c r="A90" s="1">
        <v>1997</v>
      </c>
      <c r="B90" s="1">
        <v>12</v>
      </c>
      <c r="C90" s="1">
        <v>15</v>
      </c>
      <c r="D90" s="6">
        <v>1997.9534249999999</v>
      </c>
      <c r="E90" s="3">
        <v>312.916</v>
      </c>
      <c r="F90" s="3">
        <v>0.26740000000000003</v>
      </c>
      <c r="G90" s="3">
        <v>0.65701299999999996</v>
      </c>
      <c r="H90" s="1" t="s">
        <v>10</v>
      </c>
    </row>
    <row r="91" spans="1:8" x14ac:dyDescent="0.3">
      <c r="A91" s="1">
        <v>1998</v>
      </c>
      <c r="B91" s="1">
        <v>1</v>
      </c>
      <c r="C91" s="1">
        <v>15</v>
      </c>
      <c r="D91" s="6">
        <v>1998.038356</v>
      </c>
      <c r="E91" s="3">
        <v>312.89999999999998</v>
      </c>
      <c r="F91" s="3">
        <v>0.29199999999999998</v>
      </c>
      <c r="G91" s="3">
        <v>1.0019800000000001</v>
      </c>
      <c r="H91" s="1" t="s">
        <v>10</v>
      </c>
    </row>
    <row r="92" spans="1:8" x14ac:dyDescent="0.3">
      <c r="A92" s="1">
        <v>1998</v>
      </c>
      <c r="B92" s="1">
        <v>2</v>
      </c>
      <c r="C92" s="1">
        <v>15</v>
      </c>
      <c r="D92" s="6">
        <v>1998.123288</v>
      </c>
      <c r="E92" s="3">
        <v>312.79000000000002</v>
      </c>
      <c r="F92" s="3">
        <v>0.2417</v>
      </c>
      <c r="G92" s="3">
        <v>1.07501</v>
      </c>
      <c r="H92" s="1" t="s">
        <v>10</v>
      </c>
    </row>
    <row r="93" spans="1:8" x14ac:dyDescent="0.3">
      <c r="A93" s="1">
        <v>1998</v>
      </c>
      <c r="B93" s="1">
        <v>3</v>
      </c>
      <c r="C93" s="1">
        <v>15</v>
      </c>
      <c r="D93" s="6">
        <v>1998.2</v>
      </c>
      <c r="E93" s="3">
        <v>312.584</v>
      </c>
      <c r="F93" s="3">
        <v>0.22189999999999999</v>
      </c>
      <c r="G93" s="3">
        <v>0.77099600000000001</v>
      </c>
      <c r="H93" s="1" t="s">
        <v>10</v>
      </c>
    </row>
    <row r="94" spans="1:8" x14ac:dyDescent="0.3">
      <c r="A94" s="1">
        <v>1998</v>
      </c>
      <c r="B94" s="1">
        <v>4</v>
      </c>
      <c r="C94" s="1">
        <v>15</v>
      </c>
      <c r="D94" s="6">
        <v>1998.284932</v>
      </c>
      <c r="E94" s="3">
        <v>312.50299999999999</v>
      </c>
      <c r="F94" s="3">
        <v>0.25740000000000002</v>
      </c>
      <c r="G94" s="3">
        <v>0.69497699999999996</v>
      </c>
      <c r="H94" s="1" t="s">
        <v>10</v>
      </c>
    </row>
    <row r="95" spans="1:8" x14ac:dyDescent="0.3">
      <c r="A95" s="1">
        <v>1998</v>
      </c>
      <c r="B95" s="1">
        <v>5</v>
      </c>
      <c r="C95" s="1">
        <v>15</v>
      </c>
      <c r="D95" s="6">
        <v>1998.367123</v>
      </c>
      <c r="E95" s="3">
        <v>312.54300000000001</v>
      </c>
      <c r="F95" s="3">
        <v>0.29149999999999998</v>
      </c>
      <c r="G95" s="3">
        <v>0.72799700000000001</v>
      </c>
      <c r="H95" s="1" t="s">
        <v>10</v>
      </c>
    </row>
    <row r="96" spans="1:8" x14ac:dyDescent="0.3">
      <c r="A96" s="1">
        <v>1998</v>
      </c>
      <c r="B96" s="1">
        <v>6</v>
      </c>
      <c r="C96" s="1">
        <v>15</v>
      </c>
      <c r="D96" s="6">
        <v>1998.452055</v>
      </c>
      <c r="E96" s="3">
        <v>312.63900000000001</v>
      </c>
      <c r="F96" s="3">
        <v>0.37069999999999997</v>
      </c>
      <c r="G96" s="3">
        <v>0.84701499999999996</v>
      </c>
      <c r="H96" s="1" t="s">
        <v>10</v>
      </c>
    </row>
    <row r="97" spans="1:8" x14ac:dyDescent="0.3">
      <c r="A97" s="1">
        <v>1998</v>
      </c>
      <c r="B97" s="1">
        <v>7</v>
      </c>
      <c r="C97" s="1">
        <v>15</v>
      </c>
      <c r="D97" s="6">
        <v>1998.5342470000001</v>
      </c>
      <c r="E97" s="3">
        <v>312.97199999999998</v>
      </c>
      <c r="F97" s="3">
        <v>0.23530000000000001</v>
      </c>
      <c r="G97" s="3">
        <v>0.92599500000000001</v>
      </c>
      <c r="H97" s="1" t="s">
        <v>10</v>
      </c>
    </row>
    <row r="98" spans="1:8" x14ac:dyDescent="0.3">
      <c r="A98" s="1">
        <v>1998</v>
      </c>
      <c r="B98" s="1">
        <v>8</v>
      </c>
      <c r="C98" s="1">
        <v>15</v>
      </c>
      <c r="D98" s="6">
        <v>1998.6191779999999</v>
      </c>
      <c r="E98" s="3">
        <v>313.27999999999997</v>
      </c>
      <c r="F98" s="3">
        <v>0.20699999999999999</v>
      </c>
      <c r="G98" s="3">
        <v>1.02298</v>
      </c>
      <c r="H98" s="1" t="s">
        <v>10</v>
      </c>
    </row>
    <row r="99" spans="1:8" x14ac:dyDescent="0.3">
      <c r="A99" s="1">
        <v>1998</v>
      </c>
      <c r="B99" s="1">
        <v>9</v>
      </c>
      <c r="C99" s="1">
        <v>15</v>
      </c>
      <c r="D99" s="6">
        <v>1998.7041099999999</v>
      </c>
      <c r="E99" s="3">
        <v>313.37</v>
      </c>
      <c r="F99" s="3">
        <v>0.26379999999999998</v>
      </c>
      <c r="G99" s="3">
        <v>1.2569900000000001</v>
      </c>
      <c r="H99" s="1" t="s">
        <v>10</v>
      </c>
    </row>
    <row r="100" spans="1:8" x14ac:dyDescent="0.3">
      <c r="A100" s="1">
        <v>1998</v>
      </c>
      <c r="B100" s="1">
        <v>10</v>
      </c>
      <c r="C100" s="1">
        <v>15</v>
      </c>
      <c r="D100" s="6">
        <v>1998.7863010000001</v>
      </c>
      <c r="E100" s="3">
        <v>313.46800000000002</v>
      </c>
      <c r="F100" s="3">
        <v>0.3175</v>
      </c>
      <c r="G100" s="3">
        <v>1.2330000000000001</v>
      </c>
      <c r="H100" s="1" t="s">
        <v>10</v>
      </c>
    </row>
    <row r="101" spans="1:8" x14ac:dyDescent="0.3">
      <c r="A101" s="1">
        <v>1998</v>
      </c>
      <c r="B101" s="1">
        <v>11</v>
      </c>
      <c r="C101" s="1">
        <v>15</v>
      </c>
      <c r="D101" s="6">
        <v>1998.8712330000001</v>
      </c>
      <c r="E101" s="3">
        <v>313.60500000000002</v>
      </c>
      <c r="F101" s="3">
        <v>0.26350000000000001</v>
      </c>
      <c r="G101" s="3">
        <v>1.05399</v>
      </c>
      <c r="H101" s="1" t="s">
        <v>10</v>
      </c>
    </row>
    <row r="102" spans="1:8" x14ac:dyDescent="0.3">
      <c r="A102" s="1">
        <v>1998</v>
      </c>
      <c r="B102" s="1">
        <v>12</v>
      </c>
      <c r="C102" s="1">
        <v>15</v>
      </c>
      <c r="D102" s="6">
        <v>1998.9534249999999</v>
      </c>
      <c r="E102" s="3">
        <v>313.76299999999998</v>
      </c>
      <c r="F102" s="3">
        <v>0.16550000000000001</v>
      </c>
      <c r="G102" s="3">
        <v>1.0109900000000001</v>
      </c>
      <c r="H102" s="1" t="s">
        <v>10</v>
      </c>
    </row>
    <row r="103" spans="1:8" x14ac:dyDescent="0.3">
      <c r="A103" s="1">
        <v>1999</v>
      </c>
      <c r="B103" s="1">
        <v>1</v>
      </c>
      <c r="C103" s="1">
        <v>15</v>
      </c>
      <c r="D103" s="6">
        <v>1999.038356</v>
      </c>
      <c r="E103" s="3">
        <v>313.82600000000002</v>
      </c>
      <c r="F103" s="3">
        <v>0.32590000000000002</v>
      </c>
      <c r="G103" s="3">
        <v>0.83502200000000004</v>
      </c>
      <c r="H103" s="1" t="s">
        <v>10</v>
      </c>
    </row>
    <row r="104" spans="1:8" x14ac:dyDescent="0.3">
      <c r="A104" s="1">
        <v>1999</v>
      </c>
      <c r="B104" s="1">
        <v>2</v>
      </c>
      <c r="C104" s="1">
        <v>15</v>
      </c>
      <c r="D104" s="6">
        <v>1999.123288</v>
      </c>
      <c r="E104" s="3">
        <v>313.81299999999999</v>
      </c>
      <c r="F104" s="3">
        <v>0.246</v>
      </c>
      <c r="G104" s="3">
        <v>0.71701000000000004</v>
      </c>
      <c r="H104" s="1" t="s">
        <v>10</v>
      </c>
    </row>
    <row r="105" spans="1:8" x14ac:dyDescent="0.3">
      <c r="A105" s="1">
        <v>1999</v>
      </c>
      <c r="B105" s="1">
        <v>3</v>
      </c>
      <c r="C105" s="1">
        <v>15</v>
      </c>
      <c r="D105" s="6">
        <v>1999.2</v>
      </c>
      <c r="E105" s="3">
        <v>313.84100000000001</v>
      </c>
      <c r="F105" s="3">
        <v>0.32569999999999999</v>
      </c>
      <c r="G105" s="3">
        <v>0.86801099999999998</v>
      </c>
      <c r="H105" s="1" t="s">
        <v>10</v>
      </c>
    </row>
    <row r="106" spans="1:8" x14ac:dyDescent="0.3">
      <c r="A106" s="1">
        <v>1999</v>
      </c>
      <c r="B106" s="1">
        <v>4</v>
      </c>
      <c r="C106" s="1">
        <v>15</v>
      </c>
      <c r="D106" s="6">
        <v>1999.284932</v>
      </c>
      <c r="E106" s="3">
        <v>313.73599999999999</v>
      </c>
      <c r="F106" s="3">
        <v>0.2082</v>
      </c>
      <c r="G106" s="3">
        <v>0.90701299999999996</v>
      </c>
      <c r="H106" s="1" t="s">
        <v>10</v>
      </c>
    </row>
    <row r="107" spans="1:8" x14ac:dyDescent="0.3">
      <c r="A107" s="1">
        <v>1999</v>
      </c>
      <c r="B107" s="1">
        <v>5</v>
      </c>
      <c r="C107" s="1">
        <v>15</v>
      </c>
      <c r="D107" s="6">
        <v>1999.367123</v>
      </c>
      <c r="E107" s="3">
        <v>313.59699999999998</v>
      </c>
      <c r="F107" s="3">
        <v>0.26800000000000002</v>
      </c>
      <c r="G107" s="3">
        <v>0.77600100000000005</v>
      </c>
      <c r="H107" s="1" t="s">
        <v>10</v>
      </c>
    </row>
    <row r="108" spans="1:8" x14ac:dyDescent="0.3">
      <c r="A108" s="1">
        <v>1999</v>
      </c>
      <c r="B108" s="1">
        <v>6</v>
      </c>
      <c r="C108" s="1">
        <v>15</v>
      </c>
      <c r="D108" s="6">
        <v>1999.452055</v>
      </c>
      <c r="E108" s="3">
        <v>313.64999999999998</v>
      </c>
      <c r="F108" s="3">
        <v>0.2636</v>
      </c>
      <c r="G108" s="3">
        <v>0.79998800000000003</v>
      </c>
      <c r="H108" s="1" t="s">
        <v>10</v>
      </c>
    </row>
    <row r="109" spans="1:8" x14ac:dyDescent="0.3">
      <c r="A109" s="1">
        <v>1999</v>
      </c>
      <c r="B109" s="1">
        <v>7</v>
      </c>
      <c r="C109" s="1">
        <v>15</v>
      </c>
      <c r="D109" s="6">
        <v>1999.5342470000001</v>
      </c>
      <c r="E109" s="3">
        <v>313.80700000000002</v>
      </c>
      <c r="F109" s="3">
        <v>0.13769999999999999</v>
      </c>
      <c r="G109" s="3">
        <v>0.93301400000000001</v>
      </c>
      <c r="H109" s="1" t="s">
        <v>10</v>
      </c>
    </row>
    <row r="110" spans="1:8" x14ac:dyDescent="0.3">
      <c r="A110" s="1">
        <v>1999</v>
      </c>
      <c r="B110" s="1">
        <v>8</v>
      </c>
      <c r="C110" s="1">
        <v>15</v>
      </c>
      <c r="D110" s="6">
        <v>1999.6191779999999</v>
      </c>
      <c r="E110" s="3">
        <v>313.99700000000001</v>
      </c>
      <c r="F110" s="3">
        <v>0.23380000000000001</v>
      </c>
      <c r="G110" s="3">
        <v>0.85202</v>
      </c>
      <c r="H110" s="1" t="s">
        <v>10</v>
      </c>
    </row>
    <row r="111" spans="1:8" x14ac:dyDescent="0.3">
      <c r="A111" s="1">
        <v>1999</v>
      </c>
      <c r="B111" s="1">
        <v>9</v>
      </c>
      <c r="C111" s="1">
        <v>15</v>
      </c>
      <c r="D111" s="6">
        <v>1999.7041099999999</v>
      </c>
      <c r="E111" s="3">
        <v>314.238</v>
      </c>
      <c r="F111" s="3">
        <v>0.33029999999999998</v>
      </c>
      <c r="G111" s="3">
        <v>0.70599400000000001</v>
      </c>
      <c r="H111" s="1" t="s">
        <v>10</v>
      </c>
    </row>
    <row r="112" spans="1:8" x14ac:dyDescent="0.3">
      <c r="A112" s="1">
        <v>1999</v>
      </c>
      <c r="B112" s="1">
        <v>10</v>
      </c>
      <c r="C112" s="1">
        <v>15</v>
      </c>
      <c r="D112" s="6">
        <v>1999.7863010000001</v>
      </c>
      <c r="E112" s="3">
        <v>314.375</v>
      </c>
      <c r="F112" s="3">
        <v>0.18679999999999999</v>
      </c>
      <c r="G112" s="3">
        <v>0.73599199999999998</v>
      </c>
      <c r="H112" s="1" t="s">
        <v>10</v>
      </c>
    </row>
    <row r="113" spans="1:8" x14ac:dyDescent="0.3">
      <c r="A113" s="1">
        <v>1999</v>
      </c>
      <c r="B113" s="1">
        <v>11</v>
      </c>
      <c r="C113" s="1">
        <v>15</v>
      </c>
      <c r="D113" s="6">
        <v>1999.8712330000001</v>
      </c>
      <c r="E113" s="3">
        <v>314.38099999999997</v>
      </c>
      <c r="F113" s="3">
        <v>0.2482</v>
      </c>
      <c r="G113" s="3">
        <v>0.96701000000000004</v>
      </c>
      <c r="H113" s="1" t="s">
        <v>10</v>
      </c>
    </row>
    <row r="114" spans="1:8" x14ac:dyDescent="0.3">
      <c r="A114" s="1">
        <v>1999</v>
      </c>
      <c r="B114" s="1">
        <v>12</v>
      </c>
      <c r="C114" s="1">
        <v>15</v>
      </c>
      <c r="D114" s="6">
        <v>1999.9534249999999</v>
      </c>
      <c r="E114" s="3">
        <v>314.56299999999999</v>
      </c>
      <c r="F114" s="3">
        <v>0.23300000000000001</v>
      </c>
      <c r="G114" s="3">
        <v>1.1379999999999999</v>
      </c>
      <c r="H114" s="1" t="s">
        <v>10</v>
      </c>
    </row>
    <row r="115" spans="1:8" x14ac:dyDescent="0.3">
      <c r="A115" s="1">
        <v>2000</v>
      </c>
      <c r="B115" s="1">
        <v>1</v>
      </c>
      <c r="C115" s="1">
        <v>15</v>
      </c>
      <c r="D115" s="6">
        <v>2000.0382509999999</v>
      </c>
      <c r="E115" s="3">
        <v>314.75900000000001</v>
      </c>
      <c r="F115" s="3">
        <v>0.23319999999999999</v>
      </c>
      <c r="G115" s="3">
        <v>0.98300200000000004</v>
      </c>
      <c r="H115" s="1" t="s">
        <v>10</v>
      </c>
    </row>
    <row r="116" spans="1:8" x14ac:dyDescent="0.3">
      <c r="A116" s="1">
        <v>2000</v>
      </c>
      <c r="B116" s="1">
        <v>2</v>
      </c>
      <c r="C116" s="1">
        <v>15</v>
      </c>
      <c r="D116" s="6">
        <v>2000.1229510000001</v>
      </c>
      <c r="E116" s="3">
        <v>314.66500000000002</v>
      </c>
      <c r="F116" s="3">
        <v>0.2707</v>
      </c>
      <c r="G116" s="3">
        <v>0.78399700000000005</v>
      </c>
      <c r="H116" s="1" t="s">
        <v>10</v>
      </c>
    </row>
    <row r="117" spans="1:8" x14ac:dyDescent="0.3">
      <c r="A117" s="1">
        <v>2000</v>
      </c>
      <c r="B117" s="1">
        <v>3</v>
      </c>
      <c r="C117" s="1">
        <v>15</v>
      </c>
      <c r="D117" s="6">
        <v>2000.202186</v>
      </c>
      <c r="E117" s="3">
        <v>314.54700000000003</v>
      </c>
      <c r="F117" s="3">
        <v>0.27850000000000003</v>
      </c>
      <c r="G117" s="3">
        <v>0.74798600000000004</v>
      </c>
      <c r="H117" s="1" t="s">
        <v>10</v>
      </c>
    </row>
    <row r="118" spans="1:8" x14ac:dyDescent="0.3">
      <c r="A118" s="1">
        <v>2000</v>
      </c>
      <c r="B118" s="1">
        <v>4</v>
      </c>
      <c r="C118" s="1">
        <v>15</v>
      </c>
      <c r="D118" s="6">
        <v>2000.286885</v>
      </c>
      <c r="E118" s="3">
        <v>314.47199999999998</v>
      </c>
      <c r="F118" s="3">
        <v>0.5927</v>
      </c>
      <c r="G118" s="3">
        <v>0.77099600000000001</v>
      </c>
      <c r="H118" s="1" t="s">
        <v>10</v>
      </c>
    </row>
    <row r="119" spans="1:8" x14ac:dyDescent="0.3">
      <c r="A119" s="1">
        <v>2000</v>
      </c>
      <c r="B119" s="1">
        <v>5</v>
      </c>
      <c r="C119" s="1">
        <v>15</v>
      </c>
      <c r="D119" s="6">
        <v>2000.3688520000001</v>
      </c>
      <c r="E119" s="3">
        <v>314.56400000000002</v>
      </c>
      <c r="F119" s="3">
        <v>0.37380000000000002</v>
      </c>
      <c r="G119" s="3">
        <v>0.90698199999999995</v>
      </c>
      <c r="H119" s="1" t="s">
        <v>10</v>
      </c>
    </row>
    <row r="120" spans="1:8" x14ac:dyDescent="0.3">
      <c r="A120" s="1">
        <v>2000</v>
      </c>
      <c r="B120" s="1">
        <v>6</v>
      </c>
      <c r="C120" s="1">
        <v>15</v>
      </c>
      <c r="D120" s="6">
        <v>2000.4535519999999</v>
      </c>
      <c r="E120" s="3">
        <v>314.78800000000001</v>
      </c>
      <c r="F120" s="3">
        <v>8.7800000000000003E-2</v>
      </c>
      <c r="G120" s="3">
        <v>0.83102399999999998</v>
      </c>
      <c r="H120" s="1" t="s">
        <v>10</v>
      </c>
    </row>
    <row r="121" spans="1:8" x14ac:dyDescent="0.3">
      <c r="A121" s="1">
        <v>2000</v>
      </c>
      <c r="B121" s="1">
        <v>7</v>
      </c>
      <c r="C121" s="1">
        <v>15</v>
      </c>
      <c r="D121" s="6">
        <v>2000.535519</v>
      </c>
      <c r="E121" s="3">
        <v>314.79000000000002</v>
      </c>
      <c r="F121" s="3">
        <v>0.30590000000000001</v>
      </c>
      <c r="G121" s="3">
        <v>0.54699699999999996</v>
      </c>
      <c r="H121" s="1" t="s">
        <v>10</v>
      </c>
    </row>
    <row r="122" spans="1:8" x14ac:dyDescent="0.3">
      <c r="A122" s="1">
        <v>2000</v>
      </c>
      <c r="B122" s="1">
        <v>8</v>
      </c>
      <c r="C122" s="1">
        <v>15</v>
      </c>
      <c r="D122" s="6">
        <v>2000.6202189999999</v>
      </c>
      <c r="E122" s="3">
        <v>314.78100000000001</v>
      </c>
      <c r="F122" s="3">
        <v>0.16350000000000001</v>
      </c>
      <c r="G122" s="3">
        <v>0.47699000000000003</v>
      </c>
      <c r="H122" s="1" t="s">
        <v>10</v>
      </c>
    </row>
    <row r="123" spans="1:8" x14ac:dyDescent="0.3">
      <c r="A123" s="1">
        <v>2000</v>
      </c>
      <c r="B123" s="1">
        <v>9</v>
      </c>
      <c r="C123" s="1">
        <v>15</v>
      </c>
      <c r="D123" s="6">
        <v>2000.7049179999999</v>
      </c>
      <c r="E123" s="3">
        <v>314.98599999999999</v>
      </c>
      <c r="F123" s="3">
        <v>0.30199999999999999</v>
      </c>
      <c r="G123" s="3">
        <v>0.382996</v>
      </c>
      <c r="H123" s="1" t="s">
        <v>10</v>
      </c>
    </row>
    <row r="124" spans="1:8" x14ac:dyDescent="0.3">
      <c r="A124" s="1">
        <v>2000</v>
      </c>
      <c r="B124" s="1">
        <v>10</v>
      </c>
      <c r="C124" s="1">
        <v>15</v>
      </c>
      <c r="D124" s="6">
        <v>2000.786885</v>
      </c>
      <c r="E124" s="3">
        <v>315.14600000000002</v>
      </c>
      <c r="F124" s="3">
        <v>0.27860000000000001</v>
      </c>
      <c r="G124" s="3">
        <v>0.30200199999999999</v>
      </c>
      <c r="H124" s="1" t="s">
        <v>10</v>
      </c>
    </row>
    <row r="125" spans="1:8" x14ac:dyDescent="0.3">
      <c r="A125" s="1">
        <v>2000</v>
      </c>
      <c r="B125" s="1">
        <v>11</v>
      </c>
      <c r="C125" s="1">
        <v>15</v>
      </c>
      <c r="D125" s="6">
        <v>2000.8715850000001</v>
      </c>
      <c r="E125" s="3">
        <v>315.28800000000001</v>
      </c>
      <c r="F125" s="3">
        <v>0.18229999999999999</v>
      </c>
      <c r="G125" s="3">
        <v>0.36498999999999998</v>
      </c>
      <c r="H125" s="1" t="s">
        <v>10</v>
      </c>
    </row>
    <row r="126" spans="1:8" x14ac:dyDescent="0.3">
      <c r="A126" s="1">
        <v>2000</v>
      </c>
      <c r="B126" s="1">
        <v>12</v>
      </c>
      <c r="C126" s="1">
        <v>15</v>
      </c>
      <c r="D126" s="6">
        <v>2000.9535519999999</v>
      </c>
      <c r="E126" s="3">
        <v>315.39400000000001</v>
      </c>
      <c r="F126" s="3">
        <v>0.13539999999999999</v>
      </c>
      <c r="G126" s="3">
        <v>0.38501000000000002</v>
      </c>
      <c r="H126" s="1" t="s">
        <v>10</v>
      </c>
    </row>
    <row r="127" spans="1:8" x14ac:dyDescent="0.3">
      <c r="A127" s="1">
        <v>2001</v>
      </c>
      <c r="B127" s="1">
        <v>1</v>
      </c>
      <c r="C127" s="1">
        <v>15</v>
      </c>
      <c r="D127" s="6">
        <v>2001.038356</v>
      </c>
      <c r="E127" s="3">
        <v>315.30599999999998</v>
      </c>
      <c r="F127" s="3">
        <v>0.2311</v>
      </c>
      <c r="G127" s="3">
        <v>0.50698900000000002</v>
      </c>
      <c r="H127" s="1" t="s">
        <v>10</v>
      </c>
    </row>
    <row r="128" spans="1:8" x14ac:dyDescent="0.3">
      <c r="A128" s="1">
        <v>2001</v>
      </c>
      <c r="B128" s="1">
        <v>2</v>
      </c>
      <c r="C128" s="1">
        <v>15</v>
      </c>
      <c r="D128" s="6">
        <v>2001.123288</v>
      </c>
      <c r="E128" s="3">
        <v>315.142</v>
      </c>
      <c r="F128" s="3">
        <v>0.11169999999999999</v>
      </c>
      <c r="G128" s="3">
        <v>0.66900599999999999</v>
      </c>
      <c r="H128" s="1" t="s">
        <v>10</v>
      </c>
    </row>
    <row r="129" spans="1:8" x14ac:dyDescent="0.3">
      <c r="A129" s="1">
        <v>2001</v>
      </c>
      <c r="B129" s="1">
        <v>3</v>
      </c>
      <c r="C129" s="1">
        <v>15</v>
      </c>
      <c r="D129" s="6">
        <v>2001.2</v>
      </c>
      <c r="E129" s="3">
        <v>314.93</v>
      </c>
      <c r="F129" s="3">
        <v>0.27310000000000001</v>
      </c>
      <c r="G129" s="3">
        <v>0.72799700000000001</v>
      </c>
      <c r="H129" s="1" t="s">
        <v>10</v>
      </c>
    </row>
    <row r="130" spans="1:8" x14ac:dyDescent="0.3">
      <c r="A130" s="1">
        <v>2001</v>
      </c>
      <c r="B130" s="1">
        <v>4</v>
      </c>
      <c r="C130" s="1">
        <v>15</v>
      </c>
      <c r="D130" s="6">
        <v>2001.284932</v>
      </c>
      <c r="E130" s="3">
        <v>314.774</v>
      </c>
      <c r="F130" s="3">
        <v>0.22639999999999999</v>
      </c>
      <c r="G130" s="3">
        <v>0.70401000000000002</v>
      </c>
      <c r="H130" s="1" t="s">
        <v>10</v>
      </c>
    </row>
    <row r="131" spans="1:8" x14ac:dyDescent="0.3">
      <c r="A131" s="1">
        <v>2001</v>
      </c>
      <c r="B131" s="1">
        <v>5</v>
      </c>
      <c r="C131" s="1">
        <v>15</v>
      </c>
      <c r="D131" s="6">
        <v>2001.367123</v>
      </c>
      <c r="E131" s="3">
        <v>314.92899999999997</v>
      </c>
      <c r="F131" s="3">
        <v>0.1082</v>
      </c>
      <c r="G131" s="3">
        <v>0.59799199999999997</v>
      </c>
      <c r="H131" s="1" t="s">
        <v>10</v>
      </c>
    </row>
    <row r="132" spans="1:8" x14ac:dyDescent="0.3">
      <c r="A132" s="1">
        <v>2001</v>
      </c>
      <c r="B132" s="1">
        <v>6</v>
      </c>
      <c r="C132" s="1">
        <v>15</v>
      </c>
      <c r="D132" s="6">
        <v>2001.452055</v>
      </c>
      <c r="E132" s="3">
        <v>315.173</v>
      </c>
      <c r="F132" s="3">
        <v>0.24010000000000001</v>
      </c>
      <c r="G132" s="3">
        <v>0.617981</v>
      </c>
      <c r="H132" s="1" t="s">
        <v>10</v>
      </c>
    </row>
    <row r="133" spans="1:8" x14ac:dyDescent="0.3">
      <c r="A133" s="1">
        <v>2001</v>
      </c>
      <c r="B133" s="1">
        <v>7</v>
      </c>
      <c r="C133" s="1">
        <v>15</v>
      </c>
      <c r="D133" s="6">
        <v>2001.5342470000001</v>
      </c>
      <c r="E133" s="3">
        <v>315.29700000000003</v>
      </c>
      <c r="F133" s="3">
        <v>0.17249999999999999</v>
      </c>
      <c r="G133" s="3">
        <v>0.79400599999999999</v>
      </c>
      <c r="H133" s="1" t="s">
        <v>10</v>
      </c>
    </row>
    <row r="134" spans="1:8" x14ac:dyDescent="0.3">
      <c r="A134" s="1">
        <v>2001</v>
      </c>
      <c r="B134" s="1">
        <v>8</v>
      </c>
      <c r="C134" s="1">
        <v>15</v>
      </c>
      <c r="D134" s="6">
        <v>2001.6191779999999</v>
      </c>
      <c r="E134" s="3">
        <v>315.45</v>
      </c>
      <c r="F134" s="3">
        <v>0.25919999999999999</v>
      </c>
      <c r="G134" s="3">
        <v>0.96301300000000001</v>
      </c>
      <c r="H134" s="1" t="s">
        <v>10</v>
      </c>
    </row>
    <row r="135" spans="1:8" x14ac:dyDescent="0.3">
      <c r="A135" s="1">
        <v>2001</v>
      </c>
      <c r="B135" s="1">
        <v>9</v>
      </c>
      <c r="C135" s="1">
        <v>15</v>
      </c>
      <c r="D135" s="6">
        <v>2001.7041099999999</v>
      </c>
      <c r="E135" s="3">
        <v>315.714</v>
      </c>
      <c r="F135" s="3">
        <v>0.24079999999999999</v>
      </c>
      <c r="G135" s="3">
        <v>1.004</v>
      </c>
      <c r="H135" s="1" t="s">
        <v>10</v>
      </c>
    </row>
    <row r="136" spans="1:8" x14ac:dyDescent="0.3">
      <c r="A136" s="1">
        <v>2001</v>
      </c>
      <c r="B136" s="1">
        <v>10</v>
      </c>
      <c r="C136" s="1">
        <v>15</v>
      </c>
      <c r="D136" s="6">
        <v>2001.7863010000001</v>
      </c>
      <c r="E136" s="3">
        <v>315.85000000000002</v>
      </c>
      <c r="F136" s="3">
        <v>0.20480000000000001</v>
      </c>
      <c r="G136" s="3">
        <v>1.026</v>
      </c>
      <c r="H136" s="1" t="s">
        <v>10</v>
      </c>
    </row>
    <row r="137" spans="1:8" x14ac:dyDescent="0.3">
      <c r="A137" s="1">
        <v>2001</v>
      </c>
      <c r="B137" s="1">
        <v>11</v>
      </c>
      <c r="C137" s="1">
        <v>15</v>
      </c>
      <c r="D137" s="6">
        <v>2001.8712330000001</v>
      </c>
      <c r="E137" s="3">
        <v>315.88600000000002</v>
      </c>
      <c r="F137" s="3">
        <v>0.13619999999999999</v>
      </c>
      <c r="G137" s="3">
        <v>0.90802000000000005</v>
      </c>
      <c r="H137" s="1" t="s">
        <v>10</v>
      </c>
    </row>
    <row r="138" spans="1:8" x14ac:dyDescent="0.3">
      <c r="A138" s="1">
        <v>2001</v>
      </c>
      <c r="B138" s="1">
        <v>12</v>
      </c>
      <c r="C138" s="1">
        <v>15</v>
      </c>
      <c r="D138" s="6">
        <v>2001.9534249999999</v>
      </c>
      <c r="E138" s="3">
        <v>316.012</v>
      </c>
      <c r="F138" s="3">
        <v>0.1726</v>
      </c>
      <c r="G138" s="3">
        <v>0.87100200000000005</v>
      </c>
      <c r="H138" s="1" t="s">
        <v>10</v>
      </c>
    </row>
    <row r="139" spans="1:8" x14ac:dyDescent="0.3">
      <c r="A139" s="1">
        <v>2002</v>
      </c>
      <c r="B139" s="1">
        <v>1</v>
      </c>
      <c r="C139" s="1">
        <v>15</v>
      </c>
      <c r="D139" s="6">
        <v>2002.038356</v>
      </c>
      <c r="E139" s="3">
        <v>316.10000000000002</v>
      </c>
      <c r="F139" s="3">
        <v>0.1648</v>
      </c>
      <c r="G139" s="3">
        <v>0.92098999999999998</v>
      </c>
      <c r="H139" s="1" t="s">
        <v>10</v>
      </c>
    </row>
    <row r="140" spans="1:8" x14ac:dyDescent="0.3">
      <c r="A140" s="1">
        <v>2002</v>
      </c>
      <c r="B140" s="1">
        <v>2</v>
      </c>
      <c r="C140" s="1">
        <v>15</v>
      </c>
      <c r="D140" s="6">
        <v>2002.123288</v>
      </c>
      <c r="E140" s="3">
        <v>316.10500000000002</v>
      </c>
      <c r="F140" s="3">
        <v>0.33539999999999998</v>
      </c>
      <c r="G140" s="3">
        <v>0.779999</v>
      </c>
      <c r="H140" s="1" t="s">
        <v>10</v>
      </c>
    </row>
    <row r="141" spans="1:8" x14ac:dyDescent="0.3">
      <c r="A141" s="1">
        <v>2002</v>
      </c>
      <c r="B141" s="1">
        <v>3</v>
      </c>
      <c r="C141" s="1">
        <v>15</v>
      </c>
      <c r="D141" s="6">
        <v>2002.2</v>
      </c>
      <c r="E141" s="3">
        <v>315.93400000000003</v>
      </c>
      <c r="F141" s="3">
        <v>0.19320000000000001</v>
      </c>
      <c r="G141" s="3">
        <v>0.45401000000000002</v>
      </c>
      <c r="H141" s="1" t="s">
        <v>10</v>
      </c>
    </row>
    <row r="142" spans="1:8" x14ac:dyDescent="0.3">
      <c r="A142" s="1">
        <v>2002</v>
      </c>
      <c r="B142" s="1">
        <v>4</v>
      </c>
      <c r="C142" s="1">
        <v>15</v>
      </c>
      <c r="D142" s="6">
        <v>2002.284932</v>
      </c>
      <c r="E142" s="3">
        <v>315.8</v>
      </c>
      <c r="F142" s="3">
        <v>0.19070000000000001</v>
      </c>
      <c r="G142" s="3">
        <v>0.35299700000000001</v>
      </c>
      <c r="H142" s="1" t="s">
        <v>10</v>
      </c>
    </row>
    <row r="143" spans="1:8" x14ac:dyDescent="0.3">
      <c r="A143" s="1">
        <v>2002</v>
      </c>
      <c r="B143" s="1">
        <v>5</v>
      </c>
      <c r="C143" s="1">
        <v>15</v>
      </c>
      <c r="D143" s="6">
        <v>2002.367123</v>
      </c>
      <c r="E143" s="3">
        <v>315.83699999999999</v>
      </c>
      <c r="F143" s="3">
        <v>0.2286</v>
      </c>
      <c r="G143" s="3">
        <v>0.34600799999999998</v>
      </c>
      <c r="H143" s="1" t="s">
        <v>10</v>
      </c>
    </row>
    <row r="144" spans="1:8" x14ac:dyDescent="0.3">
      <c r="A144" s="1">
        <v>2002</v>
      </c>
      <c r="B144" s="1">
        <v>6</v>
      </c>
      <c r="C144" s="1">
        <v>15</v>
      </c>
      <c r="D144" s="6">
        <v>2002.452055</v>
      </c>
      <c r="E144" s="3">
        <v>316.04399999999998</v>
      </c>
      <c r="F144" s="3">
        <v>0.39679999999999999</v>
      </c>
      <c r="G144" s="3">
        <v>0.162018</v>
      </c>
      <c r="H144" s="1" t="s">
        <v>10</v>
      </c>
    </row>
    <row r="145" spans="1:8" x14ac:dyDescent="0.3">
      <c r="A145" s="1">
        <v>2002</v>
      </c>
      <c r="B145" s="1">
        <v>7</v>
      </c>
      <c r="C145" s="1">
        <v>15</v>
      </c>
      <c r="D145" s="6">
        <v>2002.5342470000001</v>
      </c>
      <c r="E145" s="3">
        <v>316.21800000000002</v>
      </c>
      <c r="F145" s="3">
        <v>0.37669999999999998</v>
      </c>
      <c r="G145" s="3">
        <v>0.208008</v>
      </c>
      <c r="H145" s="1" t="s">
        <v>10</v>
      </c>
    </row>
    <row r="146" spans="1:8" x14ac:dyDescent="0.3">
      <c r="A146" s="1">
        <v>2002</v>
      </c>
      <c r="B146" s="1">
        <v>8</v>
      </c>
      <c r="C146" s="1">
        <v>15</v>
      </c>
      <c r="D146" s="6">
        <v>2002.6191779999999</v>
      </c>
      <c r="E146" s="3">
        <v>316.23</v>
      </c>
      <c r="F146" s="3">
        <v>0.13689999999999999</v>
      </c>
      <c r="G146" s="3">
        <v>0.25198399999999999</v>
      </c>
      <c r="H146" s="1" t="s">
        <v>10</v>
      </c>
    </row>
    <row r="147" spans="1:8" x14ac:dyDescent="0.3">
      <c r="A147" s="1">
        <v>2002</v>
      </c>
      <c r="B147" s="1">
        <v>9</v>
      </c>
      <c r="C147" s="1">
        <v>15</v>
      </c>
      <c r="D147" s="6">
        <v>2002.7041099999999</v>
      </c>
      <c r="E147" s="3">
        <v>316.16800000000001</v>
      </c>
      <c r="F147" s="3">
        <v>0.12640000000000001</v>
      </c>
      <c r="G147" s="3">
        <v>0.27801500000000001</v>
      </c>
      <c r="H147" s="1" t="s">
        <v>10</v>
      </c>
    </row>
    <row r="148" spans="1:8" x14ac:dyDescent="0.3">
      <c r="A148" s="1">
        <v>2002</v>
      </c>
      <c r="B148" s="1">
        <v>10</v>
      </c>
      <c r="C148" s="1">
        <v>15</v>
      </c>
      <c r="D148" s="6">
        <v>2002.7863010000001</v>
      </c>
      <c r="E148" s="3">
        <v>316.20299999999997</v>
      </c>
      <c r="F148" s="3">
        <v>0.2102</v>
      </c>
      <c r="G148" s="3">
        <v>0.451019</v>
      </c>
      <c r="H148" s="1" t="s">
        <v>10</v>
      </c>
    </row>
    <row r="149" spans="1:8" x14ac:dyDescent="0.3">
      <c r="A149" s="1">
        <v>2002</v>
      </c>
      <c r="B149" s="1">
        <v>11</v>
      </c>
      <c r="C149" s="1">
        <v>15</v>
      </c>
      <c r="D149" s="6">
        <v>2002.8712330000001</v>
      </c>
      <c r="E149" s="3">
        <v>316.23200000000003</v>
      </c>
      <c r="F149" s="3">
        <v>0.18240000000000001</v>
      </c>
      <c r="G149" s="3">
        <v>0.64199799999999996</v>
      </c>
      <c r="H149" s="1" t="s">
        <v>10</v>
      </c>
    </row>
    <row r="150" spans="1:8" x14ac:dyDescent="0.3">
      <c r="A150" s="1">
        <v>2002</v>
      </c>
      <c r="B150" s="1">
        <v>12</v>
      </c>
      <c r="C150" s="1">
        <v>15</v>
      </c>
      <c r="D150" s="6">
        <v>2002.9534249999999</v>
      </c>
      <c r="E150" s="3">
        <v>316.17399999999998</v>
      </c>
      <c r="F150" s="3">
        <v>0.2651</v>
      </c>
      <c r="G150" s="3">
        <v>0.48599199999999998</v>
      </c>
      <c r="H150" s="1" t="s">
        <v>10</v>
      </c>
    </row>
    <row r="151" spans="1:8" x14ac:dyDescent="0.3">
      <c r="A151" s="1">
        <v>2003</v>
      </c>
      <c r="B151" s="1">
        <v>1</v>
      </c>
      <c r="C151" s="1">
        <v>15</v>
      </c>
      <c r="D151" s="6">
        <v>2003.038356</v>
      </c>
      <c r="E151" s="3">
        <v>316.30799999999999</v>
      </c>
      <c r="F151" s="3">
        <v>0.15049999999999999</v>
      </c>
      <c r="G151" s="3">
        <v>0.30102499999999999</v>
      </c>
      <c r="H151" s="1" t="s">
        <v>10</v>
      </c>
    </row>
    <row r="152" spans="1:8" x14ac:dyDescent="0.3">
      <c r="A152" s="1">
        <v>2003</v>
      </c>
      <c r="B152" s="1">
        <v>2</v>
      </c>
      <c r="C152" s="1">
        <v>15</v>
      </c>
      <c r="D152" s="6">
        <v>2003.123288</v>
      </c>
      <c r="E152" s="3">
        <v>316.35700000000003</v>
      </c>
      <c r="F152" s="3">
        <v>0.36809999999999998</v>
      </c>
      <c r="G152" s="3">
        <v>0.28598000000000001</v>
      </c>
      <c r="H152" s="1" t="s">
        <v>10</v>
      </c>
    </row>
    <row r="153" spans="1:8" x14ac:dyDescent="0.3">
      <c r="A153" s="1">
        <v>2003</v>
      </c>
      <c r="B153" s="1">
        <v>3</v>
      </c>
      <c r="C153" s="1">
        <v>15</v>
      </c>
      <c r="D153" s="6">
        <v>2003.2</v>
      </c>
      <c r="E153" s="3">
        <v>316.21199999999999</v>
      </c>
      <c r="F153" s="3">
        <v>0.20230000000000001</v>
      </c>
      <c r="G153" s="3">
        <v>0.496002</v>
      </c>
      <c r="H153" s="1" t="s">
        <v>10</v>
      </c>
    </row>
    <row r="154" spans="1:8" x14ac:dyDescent="0.3">
      <c r="A154" s="1">
        <v>2003</v>
      </c>
      <c r="B154" s="1">
        <v>4</v>
      </c>
      <c r="C154" s="1">
        <v>15</v>
      </c>
      <c r="D154" s="6">
        <v>2003.284932</v>
      </c>
      <c r="E154" s="3">
        <v>316.25099999999998</v>
      </c>
      <c r="F154" s="3">
        <v>0.2477</v>
      </c>
      <c r="G154" s="3">
        <v>0.63699300000000003</v>
      </c>
      <c r="H154" s="1" t="s">
        <v>10</v>
      </c>
    </row>
    <row r="155" spans="1:8" x14ac:dyDescent="0.3">
      <c r="A155" s="1">
        <v>2003</v>
      </c>
      <c r="B155" s="1">
        <v>5</v>
      </c>
      <c r="C155" s="1">
        <v>15</v>
      </c>
      <c r="D155" s="6">
        <v>2003.367123</v>
      </c>
      <c r="E155" s="3">
        <v>316.47899999999998</v>
      </c>
      <c r="F155" s="3">
        <v>0.26519999999999999</v>
      </c>
      <c r="G155" s="3">
        <v>0.79000899999999996</v>
      </c>
      <c r="H155" s="1" t="s">
        <v>10</v>
      </c>
    </row>
    <row r="156" spans="1:8" x14ac:dyDescent="0.3">
      <c r="A156" s="1">
        <v>2003</v>
      </c>
      <c r="B156" s="1">
        <v>6</v>
      </c>
      <c r="C156" s="1">
        <v>15</v>
      </c>
      <c r="D156" s="6">
        <v>2003.452055</v>
      </c>
      <c r="E156" s="3">
        <v>316.52999999999997</v>
      </c>
      <c r="F156" s="3">
        <v>0.29799999999999999</v>
      </c>
      <c r="G156" s="3">
        <v>1.2370000000000001</v>
      </c>
      <c r="H156" s="1" t="s">
        <v>10</v>
      </c>
    </row>
    <row r="157" spans="1:8" x14ac:dyDescent="0.3">
      <c r="A157" s="1">
        <v>2003</v>
      </c>
      <c r="B157" s="1">
        <v>7</v>
      </c>
      <c r="C157" s="1">
        <v>15</v>
      </c>
      <c r="D157" s="6">
        <v>2003.5342470000001</v>
      </c>
      <c r="E157" s="3">
        <v>316.51900000000001</v>
      </c>
      <c r="F157" s="3">
        <v>7.3000000000000001E-3</v>
      </c>
      <c r="G157" s="3">
        <v>1.2039800000000001</v>
      </c>
      <c r="H157" s="1" t="s">
        <v>10</v>
      </c>
    </row>
    <row r="158" spans="1:8" x14ac:dyDescent="0.3">
      <c r="A158" s="1">
        <v>2003</v>
      </c>
      <c r="B158" s="1">
        <v>8</v>
      </c>
      <c r="C158" s="1">
        <v>15</v>
      </c>
      <c r="D158" s="6">
        <v>2003.6191779999999</v>
      </c>
      <c r="E158" s="3">
        <v>316.51600000000002</v>
      </c>
      <c r="F158" s="3">
        <v>0.51339999999999997</v>
      </c>
      <c r="G158" s="3">
        <v>0.890015</v>
      </c>
      <c r="H158" s="1" t="s">
        <v>10</v>
      </c>
    </row>
    <row r="159" spans="1:8" x14ac:dyDescent="0.3">
      <c r="A159" s="1">
        <v>2003</v>
      </c>
      <c r="B159" s="1">
        <v>9</v>
      </c>
      <c r="C159" s="1">
        <v>15</v>
      </c>
      <c r="D159" s="6">
        <v>2003.7041099999999</v>
      </c>
      <c r="E159" s="3">
        <v>316.66399999999999</v>
      </c>
      <c r="F159" s="3">
        <v>0.43730000000000002</v>
      </c>
      <c r="G159" s="3">
        <v>0.90298500000000004</v>
      </c>
      <c r="H159" s="1" t="s">
        <v>10</v>
      </c>
    </row>
    <row r="160" spans="1:8" x14ac:dyDescent="0.3">
      <c r="A160" s="1">
        <v>2003</v>
      </c>
      <c r="B160" s="1">
        <v>10</v>
      </c>
      <c r="C160" s="1">
        <v>15</v>
      </c>
      <c r="D160" s="6">
        <v>2003.7863010000001</v>
      </c>
      <c r="E160" s="3">
        <v>316.83999999999997</v>
      </c>
      <c r="F160" s="3">
        <v>0.36399999999999999</v>
      </c>
      <c r="G160" s="3">
        <v>0.779999</v>
      </c>
      <c r="H160" s="1" t="s">
        <v>10</v>
      </c>
    </row>
    <row r="161" spans="1:8" x14ac:dyDescent="0.3">
      <c r="A161" s="1">
        <v>2003</v>
      </c>
      <c r="B161" s="1">
        <v>11</v>
      </c>
      <c r="C161" s="1">
        <v>15</v>
      </c>
      <c r="D161" s="6">
        <v>2003.8712330000001</v>
      </c>
      <c r="E161" s="3">
        <v>317.02199999999999</v>
      </c>
      <c r="F161" s="3">
        <v>0.16320000000000001</v>
      </c>
      <c r="G161" s="3">
        <v>0.53799399999999997</v>
      </c>
      <c r="H161" s="1" t="s">
        <v>10</v>
      </c>
    </row>
    <row r="162" spans="1:8" x14ac:dyDescent="0.3">
      <c r="A162" s="1">
        <v>2003</v>
      </c>
      <c r="B162" s="1">
        <v>12</v>
      </c>
      <c r="C162" s="1">
        <v>15</v>
      </c>
      <c r="D162" s="6">
        <v>2003.9534249999999</v>
      </c>
      <c r="E162" s="3">
        <v>317.411</v>
      </c>
      <c r="F162" s="3">
        <v>0.31979999999999997</v>
      </c>
      <c r="G162" s="3">
        <v>0.55499299999999996</v>
      </c>
      <c r="H162" s="1" t="s">
        <v>10</v>
      </c>
    </row>
    <row r="163" spans="1:8" x14ac:dyDescent="0.3">
      <c r="A163" s="1">
        <v>2004</v>
      </c>
      <c r="B163" s="1">
        <v>1</v>
      </c>
      <c r="C163" s="1">
        <v>15</v>
      </c>
      <c r="D163" s="6">
        <v>2004.0382509999999</v>
      </c>
      <c r="E163" s="3">
        <v>317.512</v>
      </c>
      <c r="F163" s="3">
        <v>0.33289999999999997</v>
      </c>
      <c r="G163" s="3">
        <v>0.70599400000000001</v>
      </c>
      <c r="H163" s="1" t="s">
        <v>10</v>
      </c>
    </row>
    <row r="164" spans="1:8" x14ac:dyDescent="0.3">
      <c r="A164" s="1">
        <v>2004</v>
      </c>
      <c r="B164" s="1">
        <v>2</v>
      </c>
      <c r="C164" s="1">
        <v>15</v>
      </c>
      <c r="D164" s="6">
        <v>2004.1229510000001</v>
      </c>
      <c r="E164" s="3">
        <v>317.24700000000001</v>
      </c>
      <c r="F164" s="3">
        <v>0.21390000000000001</v>
      </c>
      <c r="G164" s="3">
        <v>1.099</v>
      </c>
      <c r="H164" s="1" t="s">
        <v>10</v>
      </c>
    </row>
    <row r="165" spans="1:8" x14ac:dyDescent="0.3">
      <c r="A165" s="1">
        <v>2004</v>
      </c>
      <c r="B165" s="1">
        <v>3</v>
      </c>
      <c r="C165" s="1">
        <v>15</v>
      </c>
      <c r="D165" s="6">
        <v>2004.202186</v>
      </c>
      <c r="E165" s="3">
        <v>317.11500000000001</v>
      </c>
      <c r="F165" s="3">
        <v>0.1462</v>
      </c>
      <c r="G165" s="3">
        <v>1.095</v>
      </c>
      <c r="H165" s="1" t="s">
        <v>10</v>
      </c>
    </row>
    <row r="166" spans="1:8" x14ac:dyDescent="0.3">
      <c r="A166" s="1">
        <v>2004</v>
      </c>
      <c r="B166" s="1">
        <v>4</v>
      </c>
      <c r="C166" s="1">
        <v>15</v>
      </c>
      <c r="D166" s="6">
        <v>2004.286885</v>
      </c>
      <c r="E166" s="3">
        <v>317.03100000000001</v>
      </c>
      <c r="F166" s="3">
        <v>0.1222</v>
      </c>
      <c r="G166" s="3">
        <v>0.82598899999999997</v>
      </c>
      <c r="H166" s="1" t="s">
        <v>10</v>
      </c>
    </row>
    <row r="167" spans="1:8" x14ac:dyDescent="0.3">
      <c r="A167" s="1">
        <v>2004</v>
      </c>
      <c r="B167" s="1">
        <v>5</v>
      </c>
      <c r="C167" s="1">
        <v>15</v>
      </c>
      <c r="D167" s="6">
        <v>2004.3688520000001</v>
      </c>
      <c r="E167" s="3">
        <v>317.017</v>
      </c>
      <c r="F167" s="3">
        <v>9.2200000000000004E-2</v>
      </c>
      <c r="G167" s="3">
        <v>0.68899500000000002</v>
      </c>
      <c r="H167" s="1" t="s">
        <v>10</v>
      </c>
    </row>
    <row r="168" spans="1:8" x14ac:dyDescent="0.3">
      <c r="A168" s="1">
        <v>2004</v>
      </c>
      <c r="B168" s="1">
        <v>6</v>
      </c>
      <c r="C168" s="1">
        <v>15</v>
      </c>
      <c r="D168" s="6">
        <v>2004.4535519999999</v>
      </c>
      <c r="E168" s="3">
        <v>317.08499999999998</v>
      </c>
      <c r="F168" s="3">
        <v>0.28120000000000001</v>
      </c>
      <c r="G168" s="3">
        <v>0.32897900000000002</v>
      </c>
      <c r="H168" s="1" t="s">
        <v>10</v>
      </c>
    </row>
    <row r="169" spans="1:8" x14ac:dyDescent="0.3">
      <c r="A169" s="1">
        <v>2004</v>
      </c>
      <c r="B169" s="1">
        <v>7</v>
      </c>
      <c r="C169" s="1">
        <v>15</v>
      </c>
      <c r="D169" s="6">
        <v>2004.535519</v>
      </c>
      <c r="E169" s="3">
        <v>317.22500000000002</v>
      </c>
      <c r="F169" s="3">
        <v>0.1288</v>
      </c>
      <c r="G169" s="3">
        <v>0.47201500000000002</v>
      </c>
      <c r="H169" s="1" t="s">
        <v>10</v>
      </c>
    </row>
    <row r="170" spans="1:8" x14ac:dyDescent="0.3">
      <c r="A170" s="1">
        <v>2004</v>
      </c>
      <c r="B170" s="1">
        <v>8</v>
      </c>
      <c r="C170" s="1">
        <v>15</v>
      </c>
      <c r="D170" s="6">
        <v>2004.6202189999999</v>
      </c>
      <c r="E170" s="3">
        <v>317.61500000000001</v>
      </c>
      <c r="F170" s="3">
        <v>0.2167</v>
      </c>
      <c r="G170" s="3">
        <v>0.74600200000000005</v>
      </c>
      <c r="H170" s="1" t="s">
        <v>10</v>
      </c>
    </row>
    <row r="171" spans="1:8" x14ac:dyDescent="0.3">
      <c r="A171" s="1">
        <v>2004</v>
      </c>
      <c r="B171" s="1">
        <v>9</v>
      </c>
      <c r="C171" s="1">
        <v>15</v>
      </c>
      <c r="D171" s="6">
        <v>2004.7049179999999</v>
      </c>
      <c r="E171" s="3">
        <v>317.75900000000001</v>
      </c>
      <c r="F171" s="3">
        <v>0.20119999999999999</v>
      </c>
      <c r="G171" s="3">
        <v>0.39300499999999999</v>
      </c>
      <c r="H171" s="1" t="s">
        <v>10</v>
      </c>
    </row>
    <row r="172" spans="1:8" x14ac:dyDescent="0.3">
      <c r="A172" s="1">
        <v>2004</v>
      </c>
      <c r="B172" s="1">
        <v>10</v>
      </c>
      <c r="C172" s="1">
        <v>15</v>
      </c>
      <c r="D172" s="6">
        <v>2004.786885</v>
      </c>
      <c r="E172" s="3">
        <v>317.666</v>
      </c>
      <c r="F172" s="3">
        <v>0.12570000000000001</v>
      </c>
      <c r="G172" s="3">
        <v>0.27099600000000001</v>
      </c>
      <c r="H172" s="1" t="s">
        <v>10</v>
      </c>
    </row>
    <row r="173" spans="1:8" x14ac:dyDescent="0.3">
      <c r="A173" s="1">
        <v>2004</v>
      </c>
      <c r="B173" s="1">
        <v>11</v>
      </c>
      <c r="C173" s="1">
        <v>15</v>
      </c>
      <c r="D173" s="6">
        <v>2004.8715850000001</v>
      </c>
      <c r="E173" s="3">
        <v>317.71100000000001</v>
      </c>
      <c r="F173" s="3">
        <v>0.17799999999999999</v>
      </c>
      <c r="G173" s="3">
        <v>0.65399200000000002</v>
      </c>
      <c r="H173" s="1" t="s">
        <v>10</v>
      </c>
    </row>
    <row r="174" spans="1:8" x14ac:dyDescent="0.3">
      <c r="A174" s="1">
        <v>2004</v>
      </c>
      <c r="B174" s="1">
        <v>12</v>
      </c>
      <c r="C174" s="1">
        <v>15</v>
      </c>
      <c r="D174" s="6">
        <v>2004.9535519999999</v>
      </c>
      <c r="E174" s="3">
        <v>317.74</v>
      </c>
      <c r="F174" s="3">
        <v>0.47499999999999998</v>
      </c>
      <c r="G174" s="3">
        <v>0.94601400000000002</v>
      </c>
      <c r="H174" s="1" t="s">
        <v>10</v>
      </c>
    </row>
    <row r="175" spans="1:8" x14ac:dyDescent="0.3">
      <c r="A175" s="1">
        <v>2005</v>
      </c>
      <c r="B175" s="1">
        <v>1</v>
      </c>
      <c r="C175" s="1">
        <v>15</v>
      </c>
      <c r="D175" s="6">
        <v>2005.038356</v>
      </c>
      <c r="E175" s="3">
        <v>317.98399999999998</v>
      </c>
      <c r="F175" s="3">
        <v>0.49149999999999999</v>
      </c>
      <c r="G175" s="3">
        <v>0.73400900000000002</v>
      </c>
      <c r="H175" s="1" t="s">
        <v>10</v>
      </c>
    </row>
    <row r="176" spans="1:8" x14ac:dyDescent="0.3">
      <c r="A176" s="1">
        <v>2005</v>
      </c>
      <c r="B176" s="1">
        <v>2</v>
      </c>
      <c r="C176" s="1">
        <v>15</v>
      </c>
      <c r="D176" s="6">
        <v>2005.123288</v>
      </c>
      <c r="E176" s="3">
        <v>317.99299999999999</v>
      </c>
      <c r="F176" s="3">
        <v>0.13439999999999999</v>
      </c>
      <c r="G176" s="3">
        <v>0.46499600000000002</v>
      </c>
      <c r="H176" s="1" t="s">
        <v>10</v>
      </c>
    </row>
    <row r="177" spans="1:8" x14ac:dyDescent="0.3">
      <c r="A177" s="1">
        <v>2005</v>
      </c>
      <c r="B177" s="1">
        <v>3</v>
      </c>
      <c r="C177" s="1">
        <v>15</v>
      </c>
      <c r="D177" s="6">
        <v>2005.2</v>
      </c>
      <c r="E177" s="3">
        <v>317.50799999999998</v>
      </c>
      <c r="F177" s="3">
        <v>0.28920000000000001</v>
      </c>
      <c r="G177" s="3">
        <v>0.57699599999999995</v>
      </c>
      <c r="H177" s="1" t="s">
        <v>10</v>
      </c>
    </row>
    <row r="178" spans="1:8" x14ac:dyDescent="0.3">
      <c r="A178" s="1">
        <v>2005</v>
      </c>
      <c r="B178" s="1">
        <v>4</v>
      </c>
      <c r="C178" s="1">
        <v>15</v>
      </c>
      <c r="D178" s="6">
        <v>2005.284932</v>
      </c>
      <c r="E178" s="3">
        <v>317.30200000000002</v>
      </c>
      <c r="F178" s="3">
        <v>0.4355</v>
      </c>
      <c r="G178" s="3">
        <v>0.830017</v>
      </c>
      <c r="H178" s="1" t="s">
        <v>10</v>
      </c>
    </row>
    <row r="179" spans="1:8" x14ac:dyDescent="0.3">
      <c r="A179" s="1">
        <v>2005</v>
      </c>
      <c r="B179" s="1">
        <v>5</v>
      </c>
      <c r="C179" s="1">
        <v>15</v>
      </c>
      <c r="D179" s="6">
        <v>2005.367123</v>
      </c>
      <c r="E179" s="3">
        <v>317.67099999999999</v>
      </c>
      <c r="F179" s="3">
        <v>0.19040000000000001</v>
      </c>
      <c r="G179" s="3">
        <v>1.1379999999999999</v>
      </c>
      <c r="H179" s="1" t="s">
        <v>10</v>
      </c>
    </row>
    <row r="180" spans="1:8" x14ac:dyDescent="0.3">
      <c r="A180" s="1">
        <v>2005</v>
      </c>
      <c r="B180" s="1">
        <v>6</v>
      </c>
      <c r="C180" s="1">
        <v>15</v>
      </c>
      <c r="D180" s="6">
        <v>2005.452055</v>
      </c>
      <c r="E180" s="3">
        <v>318.03100000000001</v>
      </c>
      <c r="F180" s="3">
        <v>0.26939999999999997</v>
      </c>
      <c r="G180" s="3">
        <v>1.056</v>
      </c>
      <c r="H180" s="1" t="s">
        <v>10</v>
      </c>
    </row>
    <row r="181" spans="1:8" x14ac:dyDescent="0.3">
      <c r="A181" s="1">
        <v>2005</v>
      </c>
      <c r="B181" s="1">
        <v>7</v>
      </c>
      <c r="C181" s="1">
        <v>15</v>
      </c>
      <c r="D181" s="6">
        <v>2005.5342470000001</v>
      </c>
      <c r="E181" s="3">
        <v>317.959</v>
      </c>
      <c r="F181" s="3">
        <v>0.28770000000000001</v>
      </c>
      <c r="G181" s="3">
        <v>0.57699599999999995</v>
      </c>
      <c r="H181" s="1" t="s">
        <v>10</v>
      </c>
    </row>
    <row r="182" spans="1:8" x14ac:dyDescent="0.3">
      <c r="A182" s="1">
        <v>2005</v>
      </c>
      <c r="B182" s="1">
        <v>8</v>
      </c>
      <c r="C182" s="1">
        <v>15</v>
      </c>
      <c r="D182" s="6">
        <v>2005.6191779999999</v>
      </c>
      <c r="E182" s="3">
        <v>318.08</v>
      </c>
      <c r="F182" s="3">
        <v>0.32829999999999998</v>
      </c>
      <c r="G182" s="3">
        <v>0.63198900000000002</v>
      </c>
      <c r="H182" s="1" t="s">
        <v>10</v>
      </c>
    </row>
    <row r="183" spans="1:8" x14ac:dyDescent="0.3">
      <c r="A183" s="1">
        <v>2005</v>
      </c>
      <c r="B183" s="1">
        <v>9</v>
      </c>
      <c r="C183" s="1">
        <v>15</v>
      </c>
      <c r="D183" s="6">
        <v>2005.7041099999999</v>
      </c>
      <c r="E183" s="3">
        <v>318.33600000000001</v>
      </c>
      <c r="F183" s="3">
        <v>0.3296</v>
      </c>
      <c r="G183" s="3">
        <v>1.1120000000000001</v>
      </c>
      <c r="H183" s="1" t="s">
        <v>10</v>
      </c>
    </row>
    <row r="184" spans="1:8" x14ac:dyDescent="0.3">
      <c r="A184" s="1">
        <v>2005</v>
      </c>
      <c r="B184" s="1">
        <v>10</v>
      </c>
      <c r="C184" s="1">
        <v>15</v>
      </c>
      <c r="D184" s="6">
        <v>2005.7863010000001</v>
      </c>
      <c r="E184" s="3">
        <v>318.49599999999998</v>
      </c>
      <c r="F184" s="3">
        <v>0.46739999999999998</v>
      </c>
      <c r="G184" s="3">
        <v>1.1919900000000001</v>
      </c>
      <c r="H184" s="1" t="s">
        <v>10</v>
      </c>
    </row>
    <row r="185" spans="1:8" x14ac:dyDescent="0.3">
      <c r="A185" s="1">
        <v>2005</v>
      </c>
      <c r="B185" s="1">
        <v>11</v>
      </c>
      <c r="C185" s="1">
        <v>15</v>
      </c>
      <c r="D185" s="6">
        <v>2005.8712330000001</v>
      </c>
      <c r="E185" s="3">
        <v>318.84899999999999</v>
      </c>
      <c r="F185" s="3">
        <v>9.0200000000000002E-2</v>
      </c>
      <c r="G185" s="3">
        <v>0.81802399999999997</v>
      </c>
      <c r="H185" s="1" t="s">
        <v>10</v>
      </c>
    </row>
    <row r="186" spans="1:8" x14ac:dyDescent="0.3">
      <c r="A186" s="1">
        <v>2005</v>
      </c>
      <c r="B186" s="1">
        <v>12</v>
      </c>
      <c r="C186" s="1">
        <v>15</v>
      </c>
      <c r="D186" s="6">
        <v>2005.9534249999999</v>
      </c>
      <c r="E186" s="3">
        <v>318.79599999999999</v>
      </c>
      <c r="F186" s="3">
        <v>0.42630000000000001</v>
      </c>
      <c r="G186" s="3">
        <v>0.59399400000000002</v>
      </c>
      <c r="H186" s="1" t="s">
        <v>10</v>
      </c>
    </row>
    <row r="187" spans="1:8" x14ac:dyDescent="0.3">
      <c r="A187" s="1">
        <v>2006</v>
      </c>
      <c r="B187" s="1">
        <v>1</v>
      </c>
      <c r="C187" s="1">
        <v>15</v>
      </c>
      <c r="D187" s="6">
        <v>2006.038356</v>
      </c>
      <c r="E187" s="3">
        <v>318.56099999999998</v>
      </c>
      <c r="F187" s="3">
        <v>4.6899999999999997E-2</v>
      </c>
      <c r="G187" s="3">
        <v>0.77197300000000002</v>
      </c>
      <c r="H187" s="1" t="s">
        <v>10</v>
      </c>
    </row>
    <row r="188" spans="1:8" x14ac:dyDescent="0.3">
      <c r="A188" s="1">
        <v>2006</v>
      </c>
      <c r="B188" s="1">
        <v>2</v>
      </c>
      <c r="C188" s="1">
        <v>15</v>
      </c>
      <c r="D188" s="6">
        <v>2006.123288</v>
      </c>
      <c r="E188" s="3">
        <v>318.625</v>
      </c>
      <c r="F188" s="3">
        <v>0.50860000000000005</v>
      </c>
      <c r="G188" s="3">
        <v>0.94201699999999999</v>
      </c>
      <c r="H188" s="1" t="s">
        <v>10</v>
      </c>
    </row>
    <row r="189" spans="1:8" x14ac:dyDescent="0.3">
      <c r="A189" s="1">
        <v>2006</v>
      </c>
      <c r="B189" s="1">
        <v>3</v>
      </c>
      <c r="C189" s="1">
        <v>15</v>
      </c>
      <c r="D189" s="6">
        <v>2006.2</v>
      </c>
      <c r="E189" s="3">
        <v>318.62</v>
      </c>
      <c r="F189" s="3">
        <v>0.30740000000000001</v>
      </c>
      <c r="G189" s="3">
        <v>0.93701199999999996</v>
      </c>
      <c r="H189" s="1" t="s">
        <v>10</v>
      </c>
    </row>
    <row r="190" spans="1:8" x14ac:dyDescent="0.3">
      <c r="A190" s="1">
        <v>2006</v>
      </c>
      <c r="B190" s="1">
        <v>4</v>
      </c>
      <c r="C190" s="1">
        <v>15</v>
      </c>
      <c r="D190" s="6">
        <v>2006.284932</v>
      </c>
      <c r="E190" s="3">
        <v>318.49400000000003</v>
      </c>
      <c r="F190" s="3">
        <v>0.30370000000000003</v>
      </c>
      <c r="G190" s="3">
        <v>0.75299099999999997</v>
      </c>
      <c r="H190" s="1" t="s">
        <v>10</v>
      </c>
    </row>
    <row r="191" spans="1:8" x14ac:dyDescent="0.3">
      <c r="A191" s="1">
        <v>2006</v>
      </c>
      <c r="B191" s="1">
        <v>5</v>
      </c>
      <c r="C191" s="1">
        <v>15</v>
      </c>
      <c r="D191" s="6">
        <v>2006.367123</v>
      </c>
      <c r="E191" s="3">
        <v>318.48899999999998</v>
      </c>
      <c r="F191" s="3">
        <v>0.14979999999999999</v>
      </c>
      <c r="G191" s="3">
        <v>0.53298999999999996</v>
      </c>
      <c r="H191" s="1" t="s">
        <v>10</v>
      </c>
    </row>
    <row r="192" spans="1:8" x14ac:dyDescent="0.3">
      <c r="A192" s="1">
        <v>2006</v>
      </c>
      <c r="B192" s="1">
        <v>6</v>
      </c>
      <c r="C192" s="1">
        <v>15</v>
      </c>
      <c r="D192" s="6">
        <v>2006.452055</v>
      </c>
      <c r="E192" s="3">
        <v>318.625</v>
      </c>
      <c r="F192" s="3">
        <v>5.3999999999999999E-2</v>
      </c>
      <c r="G192" s="3">
        <v>0.71701000000000004</v>
      </c>
      <c r="H192" s="1" t="s">
        <v>10</v>
      </c>
    </row>
    <row r="193" spans="1:8" x14ac:dyDescent="0.3">
      <c r="A193" s="1">
        <v>2006</v>
      </c>
      <c r="B193" s="1">
        <v>7</v>
      </c>
      <c r="C193" s="1">
        <v>15</v>
      </c>
      <c r="D193" s="6">
        <v>2006.5342470000001</v>
      </c>
      <c r="E193" s="3">
        <v>318.73099999999999</v>
      </c>
      <c r="F193" s="3">
        <v>6.5100000000000005E-2</v>
      </c>
      <c r="G193" s="3">
        <v>0.84399400000000002</v>
      </c>
      <c r="H193" s="1" t="s">
        <v>10</v>
      </c>
    </row>
    <row r="194" spans="1:8" x14ac:dyDescent="0.3">
      <c r="A194" s="1">
        <v>2006</v>
      </c>
      <c r="B194" s="1">
        <v>8</v>
      </c>
      <c r="C194" s="1">
        <v>15</v>
      </c>
      <c r="D194" s="6">
        <v>2006.6191779999999</v>
      </c>
      <c r="E194" s="3">
        <v>319.02199999999999</v>
      </c>
      <c r="F194" s="3">
        <v>0.20230000000000001</v>
      </c>
      <c r="G194" s="3">
        <v>0.69399999999999995</v>
      </c>
      <c r="H194" s="1" t="s">
        <v>10</v>
      </c>
    </row>
    <row r="195" spans="1:8" x14ac:dyDescent="0.3">
      <c r="A195" s="1">
        <v>2006</v>
      </c>
      <c r="B195" s="1">
        <v>9</v>
      </c>
      <c r="C195" s="1">
        <v>15</v>
      </c>
      <c r="D195" s="6">
        <v>2006.7041099999999</v>
      </c>
      <c r="E195" s="3">
        <v>319.27300000000002</v>
      </c>
      <c r="F195" s="3">
        <v>3.3700000000000001E-2</v>
      </c>
      <c r="G195" s="3">
        <v>0.69201699999999999</v>
      </c>
      <c r="H195" s="1" t="s">
        <v>10</v>
      </c>
    </row>
    <row r="196" spans="1:8" x14ac:dyDescent="0.3">
      <c r="A196" s="1">
        <v>2006</v>
      </c>
      <c r="B196" s="1">
        <v>10</v>
      </c>
      <c r="C196" s="1">
        <v>15</v>
      </c>
      <c r="D196" s="6">
        <v>2006.7863010000001</v>
      </c>
      <c r="E196" s="3">
        <v>319.24900000000002</v>
      </c>
      <c r="F196" s="3">
        <v>0.2298</v>
      </c>
      <c r="G196" s="3">
        <v>0.66500899999999996</v>
      </c>
      <c r="H196" s="1" t="s">
        <v>10</v>
      </c>
    </row>
    <row r="197" spans="1:8" x14ac:dyDescent="0.3">
      <c r="A197" s="1">
        <v>2006</v>
      </c>
      <c r="B197" s="1">
        <v>11</v>
      </c>
      <c r="C197" s="1">
        <v>15</v>
      </c>
      <c r="D197" s="6">
        <v>2006.8712330000001</v>
      </c>
      <c r="E197" s="3">
        <v>319.38200000000001</v>
      </c>
      <c r="F197" s="3">
        <v>0.2404</v>
      </c>
      <c r="G197" s="3">
        <v>0.40698200000000001</v>
      </c>
      <c r="H197" s="1" t="s">
        <v>10</v>
      </c>
    </row>
    <row r="198" spans="1:8" x14ac:dyDescent="0.3">
      <c r="A198" s="1">
        <v>2006</v>
      </c>
      <c r="B198" s="1">
        <v>12</v>
      </c>
      <c r="C198" s="1">
        <v>15</v>
      </c>
      <c r="D198" s="6">
        <v>2006.9534249999999</v>
      </c>
      <c r="E198" s="3">
        <v>319.51299999999998</v>
      </c>
      <c r="F198" s="3">
        <v>0.1242</v>
      </c>
      <c r="G198" s="3">
        <v>0.38000499999999998</v>
      </c>
      <c r="H198" s="1" t="s">
        <v>10</v>
      </c>
    </row>
    <row r="199" spans="1:8" x14ac:dyDescent="0.3">
      <c r="A199" s="1">
        <v>2007</v>
      </c>
      <c r="B199" s="1">
        <v>1</v>
      </c>
      <c r="C199" s="1">
        <v>15</v>
      </c>
      <c r="D199" s="6">
        <v>2007.038356</v>
      </c>
      <c r="E199" s="3">
        <v>319.40499999999997</v>
      </c>
      <c r="F199" s="3">
        <v>0.33579999999999999</v>
      </c>
      <c r="G199" s="3">
        <v>0.55902099999999999</v>
      </c>
      <c r="H199" s="1" t="s">
        <v>10</v>
      </c>
    </row>
    <row r="200" spans="1:8" x14ac:dyDescent="0.3">
      <c r="A200" s="1">
        <v>2007</v>
      </c>
      <c r="B200" s="1">
        <v>2</v>
      </c>
      <c r="C200" s="1">
        <v>15</v>
      </c>
      <c r="D200" s="6">
        <v>2007.123288</v>
      </c>
      <c r="E200" s="3">
        <v>319.31900000000002</v>
      </c>
      <c r="F200" s="3">
        <v>8.5000000000000006E-3</v>
      </c>
      <c r="G200" s="3">
        <v>0.53601100000000002</v>
      </c>
      <c r="H200" s="1" t="s">
        <v>10</v>
      </c>
    </row>
    <row r="201" spans="1:8" x14ac:dyDescent="0.3">
      <c r="A201" s="1">
        <v>2007</v>
      </c>
      <c r="B201" s="1">
        <v>3</v>
      </c>
      <c r="C201" s="1">
        <v>15</v>
      </c>
      <c r="D201" s="6">
        <v>2007.2</v>
      </c>
      <c r="E201" s="3">
        <v>319.31200000000001</v>
      </c>
      <c r="F201" s="3">
        <v>0.19889999999999999</v>
      </c>
      <c r="G201" s="3">
        <v>0.56100499999999998</v>
      </c>
      <c r="H201" s="1" t="s">
        <v>10</v>
      </c>
    </row>
    <row r="202" spans="1:8" x14ac:dyDescent="0.3">
      <c r="A202" s="1">
        <v>2007</v>
      </c>
      <c r="B202" s="1">
        <v>4</v>
      </c>
      <c r="C202" s="1">
        <v>15</v>
      </c>
      <c r="D202" s="6">
        <v>2007.284932</v>
      </c>
      <c r="E202" s="3">
        <v>319.15899999999999</v>
      </c>
      <c r="F202" s="3">
        <v>8.5099999999999995E-2</v>
      </c>
      <c r="G202" s="3">
        <v>0.71099900000000005</v>
      </c>
      <c r="H202" s="1" t="s">
        <v>10</v>
      </c>
    </row>
    <row r="203" spans="1:8" x14ac:dyDescent="0.3">
      <c r="A203" s="1">
        <v>2007</v>
      </c>
      <c r="B203" s="1">
        <v>5</v>
      </c>
      <c r="C203" s="1">
        <v>15</v>
      </c>
      <c r="D203" s="6">
        <v>2007.367123</v>
      </c>
      <c r="E203" s="3">
        <v>318.89600000000002</v>
      </c>
      <c r="F203" s="3">
        <v>0.26229999999999998</v>
      </c>
      <c r="G203" s="3">
        <v>0.83700600000000003</v>
      </c>
      <c r="H203" s="1" t="s">
        <v>10</v>
      </c>
    </row>
    <row r="204" spans="1:8" x14ac:dyDescent="0.3">
      <c r="A204" s="1">
        <v>2007</v>
      </c>
      <c r="B204" s="1">
        <v>6</v>
      </c>
      <c r="C204" s="1">
        <v>15</v>
      </c>
      <c r="D204" s="6">
        <v>2007.452055</v>
      </c>
      <c r="E204" s="3">
        <v>319.005</v>
      </c>
      <c r="F204" s="3">
        <v>0.17630000000000001</v>
      </c>
      <c r="G204" s="3">
        <v>0.70300300000000004</v>
      </c>
      <c r="H204" s="1" t="s">
        <v>10</v>
      </c>
    </row>
    <row r="205" spans="1:8" x14ac:dyDescent="0.3">
      <c r="A205" s="1">
        <v>2007</v>
      </c>
      <c r="B205" s="1">
        <v>7</v>
      </c>
      <c r="C205" s="1">
        <v>15</v>
      </c>
      <c r="D205" s="6">
        <v>2007.5342470000001</v>
      </c>
      <c r="E205" s="3">
        <v>319.29000000000002</v>
      </c>
      <c r="F205" s="3">
        <v>7.2900000000000006E-2</v>
      </c>
      <c r="G205" s="3">
        <v>0.60501099999999997</v>
      </c>
      <c r="H205" s="1" t="s">
        <v>10</v>
      </c>
    </row>
    <row r="206" spans="1:8" x14ac:dyDescent="0.3">
      <c r="A206" s="1">
        <v>2007</v>
      </c>
      <c r="B206" s="1">
        <v>8</v>
      </c>
      <c r="C206" s="1">
        <v>15</v>
      </c>
      <c r="D206" s="6">
        <v>2007.6191779999999</v>
      </c>
      <c r="E206" s="3">
        <v>319.55799999999999</v>
      </c>
      <c r="F206" s="3">
        <v>0.1348</v>
      </c>
      <c r="G206" s="3">
        <v>1.133</v>
      </c>
      <c r="H206" s="1" t="s">
        <v>10</v>
      </c>
    </row>
    <row r="207" spans="1:8" x14ac:dyDescent="0.3">
      <c r="A207" s="1">
        <v>2007</v>
      </c>
      <c r="B207" s="1">
        <v>9</v>
      </c>
      <c r="C207" s="1">
        <v>15</v>
      </c>
      <c r="D207" s="6">
        <v>2007.7041099999999</v>
      </c>
      <c r="E207" s="3">
        <v>319.834</v>
      </c>
      <c r="F207" s="3">
        <v>8.4400000000000003E-2</v>
      </c>
      <c r="G207" s="3">
        <v>1.43198</v>
      </c>
      <c r="H207" s="1" t="s">
        <v>10</v>
      </c>
    </row>
    <row r="208" spans="1:8" x14ac:dyDescent="0.3">
      <c r="A208" s="1">
        <v>2007</v>
      </c>
      <c r="B208" s="1">
        <v>10</v>
      </c>
      <c r="C208" s="1">
        <v>15</v>
      </c>
      <c r="D208" s="6">
        <v>2007.7863010000001</v>
      </c>
      <c r="E208" s="3">
        <v>319.95999999999998</v>
      </c>
      <c r="F208" s="3">
        <v>0.30859999999999999</v>
      </c>
      <c r="G208" s="3">
        <v>1.383</v>
      </c>
      <c r="H208" s="1" t="s">
        <v>10</v>
      </c>
    </row>
    <row r="209" spans="1:8" x14ac:dyDescent="0.3">
      <c r="A209" s="1">
        <v>2007</v>
      </c>
      <c r="B209" s="1">
        <v>11</v>
      </c>
      <c r="C209" s="1">
        <v>15</v>
      </c>
      <c r="D209" s="6">
        <v>2007.8712330000001</v>
      </c>
      <c r="E209" s="3">
        <v>320.21899999999999</v>
      </c>
      <c r="F209" s="3">
        <v>0.24940000000000001</v>
      </c>
      <c r="G209" s="3">
        <v>1.57199</v>
      </c>
      <c r="H209" s="1" t="s">
        <v>10</v>
      </c>
    </row>
    <row r="210" spans="1:8" x14ac:dyDescent="0.3">
      <c r="A210" s="1">
        <v>2007</v>
      </c>
      <c r="B210" s="1">
        <v>12</v>
      </c>
      <c r="C210" s="1">
        <v>15</v>
      </c>
      <c r="D210" s="6">
        <v>2007.9534249999999</v>
      </c>
      <c r="E210" s="3">
        <v>320.21600000000001</v>
      </c>
      <c r="F210" s="3">
        <v>0.11119999999999999</v>
      </c>
      <c r="G210" s="3">
        <v>1.5100100000000001</v>
      </c>
      <c r="H210" s="1" t="s">
        <v>10</v>
      </c>
    </row>
    <row r="211" spans="1:8" x14ac:dyDescent="0.3">
      <c r="A211" s="1">
        <v>2008</v>
      </c>
      <c r="B211" s="1">
        <v>1</v>
      </c>
      <c r="C211" s="1">
        <v>15</v>
      </c>
      <c r="D211" s="6">
        <v>2008.0382509999999</v>
      </c>
      <c r="E211" s="3">
        <v>320.01</v>
      </c>
      <c r="F211" s="3">
        <v>0.1008</v>
      </c>
      <c r="G211" s="3">
        <v>1.3729899999999999</v>
      </c>
      <c r="H211" s="1" t="s">
        <v>10</v>
      </c>
    </row>
    <row r="212" spans="1:8" x14ac:dyDescent="0.3">
      <c r="A212" s="1">
        <v>2008</v>
      </c>
      <c r="B212" s="1">
        <v>2</v>
      </c>
      <c r="C212" s="1">
        <v>15</v>
      </c>
      <c r="D212" s="6">
        <v>2008.1229510000001</v>
      </c>
      <c r="E212" s="3">
        <v>320.452</v>
      </c>
      <c r="F212" s="3">
        <v>0.3599</v>
      </c>
      <c r="G212" s="3">
        <v>1.2869900000000001</v>
      </c>
      <c r="H212" s="1" t="s">
        <v>10</v>
      </c>
    </row>
    <row r="213" spans="1:8" x14ac:dyDescent="0.3">
      <c r="A213" s="1">
        <v>2008</v>
      </c>
      <c r="B213" s="1">
        <v>3</v>
      </c>
      <c r="C213" s="1">
        <v>15</v>
      </c>
      <c r="D213" s="6">
        <v>2008.202186</v>
      </c>
      <c r="E213" s="3">
        <v>320.74400000000003</v>
      </c>
      <c r="F213" s="3">
        <v>3.3700000000000001E-2</v>
      </c>
      <c r="G213" s="3">
        <v>1.0929899999999999</v>
      </c>
      <c r="H213" s="1" t="s">
        <v>10</v>
      </c>
    </row>
    <row r="214" spans="1:8" x14ac:dyDescent="0.3">
      <c r="A214" s="1">
        <v>2008</v>
      </c>
      <c r="B214" s="1">
        <v>4</v>
      </c>
      <c r="C214" s="1">
        <v>15</v>
      </c>
      <c r="D214" s="6">
        <v>2008.286885</v>
      </c>
      <c r="E214" s="3">
        <v>320.54199999999997</v>
      </c>
      <c r="F214" s="3">
        <v>0.40550000000000003</v>
      </c>
      <c r="G214" s="3">
        <v>1.14801</v>
      </c>
      <c r="H214" s="1" t="s">
        <v>10</v>
      </c>
    </row>
    <row r="215" spans="1:8" x14ac:dyDescent="0.3">
      <c r="A215" s="1">
        <v>2008</v>
      </c>
      <c r="B215" s="1">
        <v>5</v>
      </c>
      <c r="C215" s="1">
        <v>15</v>
      </c>
      <c r="D215" s="6">
        <v>2008.3688520000001</v>
      </c>
      <c r="E215" s="3">
        <v>320.46800000000002</v>
      </c>
      <c r="F215" s="3">
        <v>8.6599999999999996E-2</v>
      </c>
      <c r="G215" s="3">
        <v>1.2180200000000001</v>
      </c>
      <c r="H215" s="1" t="s">
        <v>10</v>
      </c>
    </row>
    <row r="216" spans="1:8" x14ac:dyDescent="0.3">
      <c r="A216" s="1">
        <v>2008</v>
      </c>
      <c r="B216" s="1">
        <v>6</v>
      </c>
      <c r="C216" s="1">
        <v>15</v>
      </c>
      <c r="D216" s="6">
        <v>2008.4535519999999</v>
      </c>
      <c r="E216" s="3">
        <v>320.51499999999999</v>
      </c>
      <c r="F216" s="3">
        <v>0.67430000000000001</v>
      </c>
      <c r="G216" s="3">
        <v>1.19998</v>
      </c>
      <c r="H216" s="1" t="s">
        <v>10</v>
      </c>
    </row>
    <row r="217" spans="1:8" x14ac:dyDescent="0.3">
      <c r="A217" s="1">
        <v>2008</v>
      </c>
      <c r="B217" s="1">
        <v>7</v>
      </c>
      <c r="C217" s="1">
        <v>15</v>
      </c>
      <c r="D217" s="6">
        <v>2008.535519</v>
      </c>
      <c r="E217" s="3">
        <v>320.66300000000001</v>
      </c>
      <c r="F217" s="3">
        <v>0.14099999999999999</v>
      </c>
      <c r="G217" s="3">
        <v>1.306</v>
      </c>
      <c r="H217" s="1" t="s">
        <v>10</v>
      </c>
    </row>
    <row r="218" spans="1:8" x14ac:dyDescent="0.3">
      <c r="A218" s="1">
        <v>2008</v>
      </c>
      <c r="B218" s="1">
        <v>8</v>
      </c>
      <c r="C218" s="1">
        <v>15</v>
      </c>
      <c r="D218" s="6">
        <v>2008.6202189999999</v>
      </c>
      <c r="E218" s="3">
        <v>320.84500000000003</v>
      </c>
      <c r="F218" s="3">
        <v>0.1477</v>
      </c>
      <c r="G218" s="3">
        <v>1.06799</v>
      </c>
      <c r="H218" s="1" t="s">
        <v>10</v>
      </c>
    </row>
    <row r="219" spans="1:8" x14ac:dyDescent="0.3">
      <c r="A219" s="1">
        <v>2008</v>
      </c>
      <c r="B219" s="1">
        <v>9</v>
      </c>
      <c r="C219" s="1">
        <v>15</v>
      </c>
      <c r="D219" s="6">
        <v>2008.7049179999999</v>
      </c>
      <c r="E219" s="3">
        <v>320.92700000000002</v>
      </c>
      <c r="F219" s="3">
        <v>0.33960000000000001</v>
      </c>
      <c r="G219" s="3">
        <v>0.537018</v>
      </c>
      <c r="H219" s="1" t="s">
        <v>10</v>
      </c>
    </row>
    <row r="220" spans="1:8" x14ac:dyDescent="0.3">
      <c r="A220" s="1">
        <v>2008</v>
      </c>
      <c r="B220" s="1">
        <v>10</v>
      </c>
      <c r="C220" s="1">
        <v>15</v>
      </c>
      <c r="D220" s="6">
        <v>2008.786885</v>
      </c>
      <c r="E220" s="3">
        <v>321.108</v>
      </c>
      <c r="F220" s="3">
        <v>9.8500000000000004E-2</v>
      </c>
      <c r="G220" s="3">
        <v>0.279999</v>
      </c>
      <c r="H220" s="1" t="s">
        <v>10</v>
      </c>
    </row>
    <row r="221" spans="1:8" x14ac:dyDescent="0.3">
      <c r="A221" s="1">
        <v>2008</v>
      </c>
      <c r="B221" s="1">
        <v>11</v>
      </c>
      <c r="C221" s="1">
        <v>15</v>
      </c>
      <c r="D221" s="6">
        <v>2008.8715850000001</v>
      </c>
      <c r="E221" s="3">
        <v>321.43700000000001</v>
      </c>
      <c r="F221" s="3">
        <v>0.10440000000000001</v>
      </c>
      <c r="G221" s="3">
        <v>0.43200699999999997</v>
      </c>
      <c r="H221" s="1" t="s">
        <v>10</v>
      </c>
    </row>
    <row r="222" spans="1:8" x14ac:dyDescent="0.3">
      <c r="A222" s="1">
        <v>2008</v>
      </c>
      <c r="B222" s="1">
        <v>12</v>
      </c>
      <c r="C222" s="1">
        <v>15</v>
      </c>
      <c r="D222" s="6">
        <v>2008.9535519999999</v>
      </c>
      <c r="E222" s="3">
        <v>321.416</v>
      </c>
      <c r="F222" s="3">
        <v>0.37819999999999998</v>
      </c>
      <c r="G222" s="3">
        <v>0.62597700000000001</v>
      </c>
      <c r="H222" s="1" t="s">
        <v>10</v>
      </c>
    </row>
    <row r="223" spans="1:8" x14ac:dyDescent="0.3">
      <c r="A223" s="1">
        <v>2009</v>
      </c>
      <c r="B223" s="1">
        <v>1</v>
      </c>
      <c r="C223" s="1">
        <v>15</v>
      </c>
      <c r="D223" s="6">
        <v>2009.038356</v>
      </c>
      <c r="E223" s="3">
        <v>321.31599999999997</v>
      </c>
      <c r="F223" s="3">
        <v>4.7800000000000002E-2</v>
      </c>
      <c r="G223" s="3">
        <v>0.62799099999999997</v>
      </c>
      <c r="H223" s="1" t="s">
        <v>10</v>
      </c>
    </row>
    <row r="224" spans="1:8" x14ac:dyDescent="0.3">
      <c r="A224" s="1">
        <v>2009</v>
      </c>
      <c r="B224" s="1">
        <v>2</v>
      </c>
      <c r="C224" s="1">
        <v>15</v>
      </c>
      <c r="D224" s="6">
        <v>2009.123288</v>
      </c>
      <c r="E224" s="3">
        <v>321.52</v>
      </c>
      <c r="F224" s="3">
        <v>3.7199999999999997E-2</v>
      </c>
      <c r="G224" s="3">
        <v>0.66500899999999996</v>
      </c>
      <c r="H224" s="1" t="s">
        <v>10</v>
      </c>
    </row>
    <row r="225" spans="1:8" x14ac:dyDescent="0.3">
      <c r="A225" s="1">
        <v>2009</v>
      </c>
      <c r="B225" s="1">
        <v>3</v>
      </c>
      <c r="C225" s="1">
        <v>15</v>
      </c>
      <c r="D225" s="6">
        <v>2009.2</v>
      </c>
      <c r="E225" s="3">
        <v>321.28100000000001</v>
      </c>
      <c r="F225" s="3">
        <v>0.18</v>
      </c>
      <c r="G225" s="3">
        <v>0.63598600000000005</v>
      </c>
      <c r="H225" s="1" t="s">
        <v>10</v>
      </c>
    </row>
    <row r="226" spans="1:8" x14ac:dyDescent="0.3">
      <c r="A226" s="1">
        <v>2009</v>
      </c>
      <c r="B226" s="1">
        <v>4</v>
      </c>
      <c r="C226" s="1">
        <v>15</v>
      </c>
      <c r="D226" s="6">
        <v>2009.284932</v>
      </c>
      <c r="E226" s="3">
        <v>320.822</v>
      </c>
      <c r="F226" s="3">
        <v>0.1598</v>
      </c>
      <c r="G226" s="3">
        <v>0.67599500000000001</v>
      </c>
      <c r="H226" s="1" t="s">
        <v>10</v>
      </c>
    </row>
    <row r="227" spans="1:8" x14ac:dyDescent="0.3">
      <c r="A227" s="1">
        <v>2009</v>
      </c>
      <c r="B227" s="1">
        <v>5</v>
      </c>
      <c r="C227" s="1">
        <v>15</v>
      </c>
      <c r="D227" s="6">
        <v>2009.367123</v>
      </c>
      <c r="E227" s="3">
        <v>320.89999999999998</v>
      </c>
      <c r="F227" s="3">
        <v>0.3337</v>
      </c>
      <c r="G227" s="3">
        <v>0.69399999999999995</v>
      </c>
      <c r="H227" s="1" t="s">
        <v>10</v>
      </c>
    </row>
    <row r="228" spans="1:8" x14ac:dyDescent="0.3">
      <c r="A228" s="1">
        <v>2009</v>
      </c>
      <c r="B228" s="1">
        <v>6</v>
      </c>
      <c r="C228" s="1">
        <v>15</v>
      </c>
      <c r="D228" s="6">
        <v>2009.452055</v>
      </c>
      <c r="E228" s="3">
        <v>321.14100000000002</v>
      </c>
      <c r="F228" s="3">
        <v>0.1875</v>
      </c>
      <c r="G228" s="3">
        <v>0.70300300000000004</v>
      </c>
      <c r="H228" s="1" t="s">
        <v>10</v>
      </c>
    </row>
    <row r="229" spans="1:8" x14ac:dyDescent="0.3">
      <c r="A229" s="1">
        <v>2009</v>
      </c>
      <c r="B229" s="1">
        <v>7</v>
      </c>
      <c r="C229" s="1">
        <v>15</v>
      </c>
      <c r="D229" s="6">
        <v>2009.5342470000001</v>
      </c>
      <c r="E229" s="3">
        <v>321.291</v>
      </c>
      <c r="F229" s="3">
        <v>0.41820000000000002</v>
      </c>
      <c r="G229" s="3">
        <v>0.91299399999999997</v>
      </c>
      <c r="H229" s="1" t="s">
        <v>10</v>
      </c>
    </row>
    <row r="230" spans="1:8" x14ac:dyDescent="0.3">
      <c r="A230" s="1">
        <v>2009</v>
      </c>
      <c r="B230" s="1">
        <v>8</v>
      </c>
      <c r="C230" s="1">
        <v>15</v>
      </c>
      <c r="D230" s="6">
        <v>2009.6191779999999</v>
      </c>
      <c r="E230" s="3">
        <v>321.51</v>
      </c>
      <c r="F230" s="3">
        <v>0.19070000000000001</v>
      </c>
      <c r="G230" s="3">
        <v>0.82501199999999997</v>
      </c>
      <c r="H230" s="1" t="s">
        <v>10</v>
      </c>
    </row>
    <row r="231" spans="1:8" x14ac:dyDescent="0.3">
      <c r="A231" s="1">
        <v>2009</v>
      </c>
      <c r="B231" s="1">
        <v>9</v>
      </c>
      <c r="C231" s="1">
        <v>15</v>
      </c>
      <c r="D231" s="6">
        <v>2009.7041099999999</v>
      </c>
      <c r="E231" s="3">
        <v>321.56299999999999</v>
      </c>
      <c r="F231" s="3">
        <v>0.12989999999999999</v>
      </c>
      <c r="G231" s="3">
        <v>0.83499100000000004</v>
      </c>
      <c r="H231" s="1" t="s">
        <v>10</v>
      </c>
    </row>
    <row r="232" spans="1:8" x14ac:dyDescent="0.3">
      <c r="A232" s="1">
        <v>2009</v>
      </c>
      <c r="B232" s="1">
        <v>10</v>
      </c>
      <c r="C232" s="1">
        <v>15</v>
      </c>
      <c r="D232" s="6">
        <v>2009.7863010000001</v>
      </c>
      <c r="E232" s="3">
        <v>321.78399999999999</v>
      </c>
      <c r="F232" s="3">
        <v>0.125</v>
      </c>
      <c r="G232" s="3">
        <v>0.97100799999999998</v>
      </c>
      <c r="H232" s="1" t="s">
        <v>10</v>
      </c>
    </row>
    <row r="233" spans="1:8" x14ac:dyDescent="0.3">
      <c r="A233" s="1">
        <v>2009</v>
      </c>
      <c r="B233" s="1">
        <v>11</v>
      </c>
      <c r="C233" s="1">
        <v>15</v>
      </c>
      <c r="D233" s="6">
        <v>2009.8712330000001</v>
      </c>
      <c r="E233" s="3">
        <v>322.13099999999997</v>
      </c>
      <c r="F233" s="3">
        <v>0.26939999999999997</v>
      </c>
      <c r="G233" s="3">
        <v>0.787018</v>
      </c>
      <c r="H233" s="1" t="s">
        <v>10</v>
      </c>
    </row>
    <row r="234" spans="1:8" x14ac:dyDescent="0.3">
      <c r="A234" s="1">
        <v>2009</v>
      </c>
      <c r="B234" s="1">
        <v>12</v>
      </c>
      <c r="C234" s="1">
        <v>15</v>
      </c>
      <c r="D234" s="6">
        <v>2009.9534249999999</v>
      </c>
      <c r="E234" s="3">
        <v>322.11900000000003</v>
      </c>
      <c r="F234" s="3">
        <v>0.1598</v>
      </c>
      <c r="G234" s="3">
        <v>0.93801900000000005</v>
      </c>
      <c r="H234" s="1" t="s">
        <v>10</v>
      </c>
    </row>
    <row r="235" spans="1:8" x14ac:dyDescent="0.3">
      <c r="A235" s="1">
        <v>2010</v>
      </c>
      <c r="B235" s="1">
        <v>1</v>
      </c>
      <c r="C235" s="1">
        <v>15</v>
      </c>
      <c r="D235" s="6">
        <v>2010.038356</v>
      </c>
      <c r="E235" s="3">
        <v>322.22899999999998</v>
      </c>
      <c r="F235" s="3">
        <v>7.1599999999999997E-2</v>
      </c>
      <c r="G235" s="3">
        <v>1.17801</v>
      </c>
      <c r="H235" s="1" t="s">
        <v>10</v>
      </c>
    </row>
    <row r="236" spans="1:8" x14ac:dyDescent="0.3">
      <c r="A236" s="1">
        <v>2010</v>
      </c>
      <c r="B236" s="1">
        <v>2</v>
      </c>
      <c r="C236" s="1">
        <v>15</v>
      </c>
      <c r="D236" s="6">
        <v>2010.123288</v>
      </c>
      <c r="E236" s="3">
        <v>322.34500000000003</v>
      </c>
      <c r="F236" s="3">
        <v>2.53E-2</v>
      </c>
      <c r="G236" s="3">
        <v>0.97699000000000003</v>
      </c>
      <c r="H236" s="1" t="s">
        <v>10</v>
      </c>
    </row>
    <row r="237" spans="1:8" x14ac:dyDescent="0.3">
      <c r="A237" s="1">
        <v>2010</v>
      </c>
      <c r="B237" s="1">
        <v>3</v>
      </c>
      <c r="C237" s="1">
        <v>15</v>
      </c>
      <c r="D237" s="6">
        <v>2010.2</v>
      </c>
      <c r="E237" s="3">
        <v>322.11599999999999</v>
      </c>
      <c r="F237" s="3">
        <v>0.10050000000000001</v>
      </c>
      <c r="G237" s="3">
        <v>1.1180099999999999</v>
      </c>
      <c r="H237" s="1" t="s">
        <v>10</v>
      </c>
    </row>
    <row r="238" spans="1:8" x14ac:dyDescent="0.3">
      <c r="A238" s="1">
        <v>2010</v>
      </c>
      <c r="B238" s="1">
        <v>4</v>
      </c>
      <c r="C238" s="1">
        <v>15</v>
      </c>
      <c r="D238" s="6">
        <v>2010.284932</v>
      </c>
      <c r="E238" s="3">
        <v>321.79300000000001</v>
      </c>
      <c r="F238" s="3">
        <v>8.14E-2</v>
      </c>
      <c r="G238" s="3">
        <v>1.1839900000000001</v>
      </c>
      <c r="H238" s="1" t="s">
        <v>10</v>
      </c>
    </row>
    <row r="239" spans="1:8" x14ac:dyDescent="0.3">
      <c r="A239" s="1">
        <v>2010</v>
      </c>
      <c r="B239" s="1">
        <v>5</v>
      </c>
      <c r="C239" s="1">
        <v>15</v>
      </c>
      <c r="D239" s="6">
        <v>2010.367123</v>
      </c>
      <c r="E239" s="3">
        <v>321.68700000000001</v>
      </c>
      <c r="F239" s="3">
        <v>4.6600000000000003E-2</v>
      </c>
      <c r="G239" s="3">
        <v>1.1039699999999999</v>
      </c>
      <c r="H239" s="1" t="s">
        <v>10</v>
      </c>
    </row>
    <row r="240" spans="1:8" x14ac:dyDescent="0.3">
      <c r="A240" s="1">
        <v>2010</v>
      </c>
      <c r="B240" s="1">
        <v>6</v>
      </c>
      <c r="C240" s="1">
        <v>15</v>
      </c>
      <c r="D240" s="6">
        <v>2010.452055</v>
      </c>
      <c r="E240" s="3">
        <v>322.07900000000001</v>
      </c>
      <c r="F240" s="3">
        <v>0.20710000000000001</v>
      </c>
      <c r="G240" s="3">
        <v>1.38303</v>
      </c>
      <c r="H240" s="1" t="s">
        <v>10</v>
      </c>
    </row>
    <row r="241" spans="1:8" x14ac:dyDescent="0.3">
      <c r="A241" s="1">
        <v>2010</v>
      </c>
      <c r="B241" s="1">
        <v>7</v>
      </c>
      <c r="C241" s="1">
        <v>15</v>
      </c>
      <c r="D241" s="6">
        <v>2010.5342470000001</v>
      </c>
      <c r="E241" s="3">
        <v>322.46899999999999</v>
      </c>
      <c r="F241" s="3">
        <v>6.13E-2</v>
      </c>
      <c r="G241" s="3">
        <v>1.11398</v>
      </c>
      <c r="H241" s="1" t="s">
        <v>10</v>
      </c>
    </row>
    <row r="242" spans="1:8" x14ac:dyDescent="0.3">
      <c r="A242" s="1">
        <v>2010</v>
      </c>
      <c r="B242" s="1">
        <v>8</v>
      </c>
      <c r="C242" s="1">
        <v>15</v>
      </c>
      <c r="D242" s="6">
        <v>2010.6191779999999</v>
      </c>
      <c r="E242" s="3">
        <v>322.48700000000002</v>
      </c>
      <c r="F242" s="3">
        <v>0.1074</v>
      </c>
      <c r="G242" s="3">
        <v>0.70800799999999997</v>
      </c>
      <c r="H242" s="1" t="s">
        <v>10</v>
      </c>
    </row>
    <row r="243" spans="1:8" x14ac:dyDescent="0.3">
      <c r="A243" s="1">
        <v>2010</v>
      </c>
      <c r="B243" s="1">
        <v>9</v>
      </c>
      <c r="C243" s="1">
        <v>15</v>
      </c>
      <c r="D243" s="6">
        <v>2010.7041099999999</v>
      </c>
      <c r="E243" s="3">
        <v>322.68099999999998</v>
      </c>
      <c r="F243" s="3">
        <v>9.3600000000000003E-2</v>
      </c>
      <c r="G243" s="3">
        <v>0.96301300000000001</v>
      </c>
      <c r="H243" s="1" t="s">
        <v>10</v>
      </c>
    </row>
    <row r="244" spans="1:8" x14ac:dyDescent="0.3">
      <c r="A244" s="1">
        <v>2010</v>
      </c>
      <c r="B244" s="1">
        <v>10</v>
      </c>
      <c r="C244" s="1">
        <v>15</v>
      </c>
      <c r="D244" s="6">
        <v>2010.7863010000001</v>
      </c>
      <c r="E244" s="3">
        <v>322.96800000000002</v>
      </c>
      <c r="F244" s="3">
        <v>7.0000000000000007E-2</v>
      </c>
      <c r="G244" s="3">
        <v>1.34</v>
      </c>
      <c r="H244" s="1" t="s">
        <v>10</v>
      </c>
    </row>
    <row r="245" spans="1:8" x14ac:dyDescent="0.3">
      <c r="A245" s="1">
        <v>2010</v>
      </c>
      <c r="B245" s="1">
        <v>11</v>
      </c>
      <c r="C245" s="1">
        <v>15</v>
      </c>
      <c r="D245" s="6">
        <v>2010.8712330000001</v>
      </c>
      <c r="E245" s="3">
        <v>323.23500000000001</v>
      </c>
      <c r="F245" s="3">
        <v>9.4299999999999995E-2</v>
      </c>
      <c r="G245" s="3">
        <v>1.39899</v>
      </c>
      <c r="H245" s="1" t="s">
        <v>10</v>
      </c>
    </row>
    <row r="246" spans="1:8" x14ac:dyDescent="0.3">
      <c r="A246" s="1">
        <v>2010</v>
      </c>
      <c r="B246" s="1">
        <v>12</v>
      </c>
      <c r="C246" s="1">
        <v>15</v>
      </c>
      <c r="D246" s="6">
        <v>2010.9534249999999</v>
      </c>
      <c r="E246" s="3">
        <v>323.50200000000001</v>
      </c>
      <c r="F246" s="3">
        <v>4.8000000000000001E-2</v>
      </c>
      <c r="G246" s="3">
        <v>0.96798700000000004</v>
      </c>
      <c r="H246" s="1" t="s">
        <v>10</v>
      </c>
    </row>
    <row r="247" spans="1:8" x14ac:dyDescent="0.3">
      <c r="A247" s="1">
        <v>2011</v>
      </c>
      <c r="B247" s="1">
        <v>1</v>
      </c>
      <c r="C247" s="1">
        <v>15</v>
      </c>
      <c r="D247" s="6">
        <v>2011.038356</v>
      </c>
      <c r="E247" s="3">
        <v>323.34300000000002</v>
      </c>
      <c r="F247" s="3">
        <v>0.1113</v>
      </c>
      <c r="G247" s="3">
        <v>0.50900299999999998</v>
      </c>
      <c r="H247" s="1" t="s">
        <v>10</v>
      </c>
    </row>
    <row r="248" spans="1:8" x14ac:dyDescent="0.3">
      <c r="A248" s="1">
        <v>2011</v>
      </c>
      <c r="B248" s="1">
        <v>2</v>
      </c>
      <c r="C248" s="1">
        <v>15</v>
      </c>
      <c r="D248" s="6">
        <v>2011.123288</v>
      </c>
      <c r="E248" s="3">
        <v>323.053</v>
      </c>
      <c r="F248" s="3">
        <v>3.9899999999999998E-2</v>
      </c>
      <c r="G248" s="3">
        <v>0.67599500000000001</v>
      </c>
      <c r="H248" s="1" t="s">
        <v>10</v>
      </c>
    </row>
    <row r="249" spans="1:8" x14ac:dyDescent="0.3">
      <c r="A249" s="1">
        <v>2011</v>
      </c>
      <c r="B249" s="1">
        <v>3</v>
      </c>
      <c r="C249" s="1">
        <v>15</v>
      </c>
      <c r="D249" s="6">
        <v>2011.2</v>
      </c>
      <c r="E249" s="3">
        <v>323.07900000000001</v>
      </c>
      <c r="F249" s="3">
        <v>3.5499999999999997E-2</v>
      </c>
      <c r="G249" s="3">
        <v>0.81601000000000001</v>
      </c>
      <c r="H249" s="1" t="s">
        <v>10</v>
      </c>
    </row>
    <row r="250" spans="1:8" x14ac:dyDescent="0.3">
      <c r="A250" s="1">
        <v>2011</v>
      </c>
      <c r="B250" s="1">
        <v>4</v>
      </c>
      <c r="C250" s="1">
        <v>15</v>
      </c>
      <c r="D250" s="6">
        <v>2011.284932</v>
      </c>
      <c r="E250" s="3">
        <v>323.13299999999998</v>
      </c>
      <c r="F250" s="3">
        <v>9.2999999999999992E-3</v>
      </c>
      <c r="G250" s="3">
        <v>0.69399999999999995</v>
      </c>
      <c r="H250" s="1" t="s">
        <v>10</v>
      </c>
    </row>
    <row r="251" spans="1:8" x14ac:dyDescent="0.3">
      <c r="A251" s="1">
        <v>2011</v>
      </c>
      <c r="B251" s="1">
        <v>5</v>
      </c>
      <c r="C251" s="1">
        <v>15</v>
      </c>
      <c r="D251" s="6">
        <v>2011.367123</v>
      </c>
      <c r="E251" s="3">
        <v>323.08600000000001</v>
      </c>
      <c r="F251" s="3">
        <v>1.2200000000000001E-2</v>
      </c>
      <c r="G251" s="3">
        <v>0.58801300000000001</v>
      </c>
      <c r="H251" s="1" t="s">
        <v>10</v>
      </c>
    </row>
    <row r="252" spans="1:8" x14ac:dyDescent="0.3">
      <c r="A252" s="1">
        <v>2011</v>
      </c>
      <c r="B252" s="1">
        <v>6</v>
      </c>
      <c r="C252" s="1">
        <v>15</v>
      </c>
      <c r="D252" s="6">
        <v>2011.452055</v>
      </c>
      <c r="E252" s="3">
        <v>323.04700000000003</v>
      </c>
      <c r="F252" s="3">
        <v>0.13039999999999999</v>
      </c>
      <c r="G252" s="3">
        <v>0.44299300000000003</v>
      </c>
      <c r="H252" s="1" t="s">
        <v>10</v>
      </c>
    </row>
    <row r="253" spans="1:8" x14ac:dyDescent="0.3">
      <c r="A253" s="1">
        <v>2011</v>
      </c>
      <c r="B253" s="1">
        <v>7</v>
      </c>
      <c r="C253" s="1">
        <v>15</v>
      </c>
      <c r="D253" s="6">
        <v>2011.5342470000001</v>
      </c>
      <c r="E253" s="3">
        <v>322.97800000000001</v>
      </c>
      <c r="F253" s="3">
        <v>0.30690000000000001</v>
      </c>
      <c r="G253" s="3">
        <v>0.88800000000000001</v>
      </c>
      <c r="H253" s="1" t="s">
        <v>10</v>
      </c>
    </row>
    <row r="254" spans="1:8" x14ac:dyDescent="0.3">
      <c r="A254" s="1">
        <v>2011</v>
      </c>
      <c r="B254" s="1">
        <v>8</v>
      </c>
      <c r="C254" s="1">
        <v>15</v>
      </c>
      <c r="D254" s="6">
        <v>2011.6191779999999</v>
      </c>
      <c r="E254" s="3">
        <v>323.16300000000001</v>
      </c>
      <c r="F254" s="3">
        <v>0.1099</v>
      </c>
      <c r="G254" s="3">
        <v>1.11798</v>
      </c>
      <c r="H254" s="1" t="s">
        <v>10</v>
      </c>
    </row>
    <row r="255" spans="1:8" x14ac:dyDescent="0.3">
      <c r="A255" s="1">
        <v>2011</v>
      </c>
      <c r="B255" s="1">
        <v>9</v>
      </c>
      <c r="C255" s="1">
        <v>15</v>
      </c>
      <c r="D255" s="6">
        <v>2011.7041099999999</v>
      </c>
      <c r="E255" s="3">
        <v>323.49700000000001</v>
      </c>
      <c r="F255" s="3">
        <v>0.30940000000000001</v>
      </c>
      <c r="G255" s="3">
        <v>0.66699200000000003</v>
      </c>
      <c r="H255" s="1" t="s">
        <v>10</v>
      </c>
    </row>
    <row r="256" spans="1:8" x14ac:dyDescent="0.3">
      <c r="A256" s="1">
        <v>2011</v>
      </c>
      <c r="B256" s="1">
        <v>10</v>
      </c>
      <c r="C256" s="1">
        <v>15</v>
      </c>
      <c r="D256" s="6">
        <v>2011.7863010000001</v>
      </c>
      <c r="E256" s="3">
        <v>323.66199999999998</v>
      </c>
      <c r="F256" s="3">
        <v>4.7899999999999998E-2</v>
      </c>
      <c r="G256" s="3">
        <v>0.67501800000000001</v>
      </c>
      <c r="H256" s="1" t="s">
        <v>10</v>
      </c>
    </row>
    <row r="257" spans="1:8" x14ac:dyDescent="0.3">
      <c r="A257" s="1">
        <v>2011</v>
      </c>
      <c r="B257" s="1">
        <v>11</v>
      </c>
      <c r="C257" s="1">
        <v>15</v>
      </c>
      <c r="D257" s="6">
        <v>2011.8712330000001</v>
      </c>
      <c r="E257" s="3">
        <v>323.82299999999998</v>
      </c>
      <c r="F257" s="3">
        <v>9.4399999999999998E-2</v>
      </c>
      <c r="G257" s="3">
        <v>1.0410200000000001</v>
      </c>
      <c r="H257" s="1" t="s">
        <v>10</v>
      </c>
    </row>
    <row r="258" spans="1:8" x14ac:dyDescent="0.3">
      <c r="A258" s="1">
        <v>2011</v>
      </c>
      <c r="B258" s="1">
        <v>12</v>
      </c>
      <c r="C258" s="1">
        <v>15</v>
      </c>
      <c r="D258" s="6">
        <v>2011.9534249999999</v>
      </c>
      <c r="E258" s="3">
        <v>323.94499999999999</v>
      </c>
      <c r="F258" s="3">
        <v>5.8900000000000001E-2</v>
      </c>
      <c r="G258" s="3">
        <v>1.0580099999999999</v>
      </c>
      <c r="H258" s="1" t="s">
        <v>10</v>
      </c>
    </row>
    <row r="259" spans="1:8" x14ac:dyDescent="0.3">
      <c r="A259" s="1">
        <v>2012</v>
      </c>
      <c r="B259" s="1">
        <v>1</v>
      </c>
      <c r="C259" s="1">
        <v>15</v>
      </c>
      <c r="D259" s="6">
        <v>2012.0382509999999</v>
      </c>
      <c r="E259" s="3">
        <v>324.23099999999999</v>
      </c>
      <c r="F259" s="3">
        <v>0.1462</v>
      </c>
      <c r="G259" s="3">
        <v>1.10501</v>
      </c>
      <c r="H259" s="1" t="s">
        <v>10</v>
      </c>
    </row>
    <row r="260" spans="1:8" x14ac:dyDescent="0.3">
      <c r="A260" s="1">
        <v>2012</v>
      </c>
      <c r="B260" s="1">
        <v>2</v>
      </c>
      <c r="C260" s="1">
        <v>15</v>
      </c>
      <c r="D260" s="6">
        <v>2012.1229510000001</v>
      </c>
      <c r="E260" s="3">
        <v>324.17099999999999</v>
      </c>
      <c r="F260" s="3">
        <v>0.11559999999999999</v>
      </c>
      <c r="G260" s="3">
        <v>1.27301</v>
      </c>
      <c r="H260" s="1" t="s">
        <v>10</v>
      </c>
    </row>
    <row r="261" spans="1:8" x14ac:dyDescent="0.3">
      <c r="A261" s="1">
        <v>2012</v>
      </c>
      <c r="B261" s="1">
        <v>3</v>
      </c>
      <c r="C261" s="1">
        <v>15</v>
      </c>
      <c r="D261" s="6">
        <v>2012.202186</v>
      </c>
      <c r="E261" s="3">
        <v>323.74599999999998</v>
      </c>
      <c r="F261" s="3">
        <v>0.32669999999999999</v>
      </c>
      <c r="G261" s="3">
        <v>1.19299</v>
      </c>
      <c r="H261" s="1" t="s">
        <v>10</v>
      </c>
    </row>
    <row r="262" spans="1:8" x14ac:dyDescent="0.3">
      <c r="A262" s="1">
        <v>2012</v>
      </c>
      <c r="B262" s="1">
        <v>4</v>
      </c>
      <c r="C262" s="1">
        <v>15</v>
      </c>
      <c r="D262" s="6">
        <v>2012.286885</v>
      </c>
      <c r="E262" s="3">
        <v>323.80799999999999</v>
      </c>
      <c r="F262" s="3">
        <v>0.10299999999999999</v>
      </c>
      <c r="G262" s="3">
        <v>1.12201</v>
      </c>
      <c r="H262" s="1" t="s">
        <v>10</v>
      </c>
    </row>
    <row r="263" spans="1:8" x14ac:dyDescent="0.3">
      <c r="A263" s="1">
        <v>2012</v>
      </c>
      <c r="B263" s="1">
        <v>5</v>
      </c>
      <c r="C263" s="1">
        <v>15</v>
      </c>
      <c r="D263" s="6">
        <v>2012.3688520000001</v>
      </c>
      <c r="E263" s="3">
        <v>324.12700000000001</v>
      </c>
      <c r="F263" s="3">
        <v>5.6399999999999999E-2</v>
      </c>
      <c r="G263" s="3">
        <v>1.22601</v>
      </c>
      <c r="H263" s="1" t="s">
        <v>10</v>
      </c>
    </row>
    <row r="264" spans="1:8" x14ac:dyDescent="0.3">
      <c r="A264" s="1">
        <v>2012</v>
      </c>
      <c r="B264" s="1">
        <v>6</v>
      </c>
      <c r="C264" s="1">
        <v>15</v>
      </c>
      <c r="D264" s="6">
        <v>2012.4535519999999</v>
      </c>
      <c r="E264" s="3">
        <v>324.10500000000002</v>
      </c>
      <c r="F264" s="3">
        <v>0.4194</v>
      </c>
      <c r="G264" s="3">
        <v>1.1339999999999999</v>
      </c>
      <c r="H264" s="1" t="s">
        <v>10</v>
      </c>
    </row>
    <row r="265" spans="1:8" x14ac:dyDescent="0.3">
      <c r="A265" s="1">
        <v>2012</v>
      </c>
      <c r="B265" s="1">
        <v>7</v>
      </c>
      <c r="C265" s="1">
        <v>15</v>
      </c>
      <c r="D265" s="6">
        <v>2012.535519</v>
      </c>
      <c r="E265" s="3">
        <v>324.08300000000003</v>
      </c>
      <c r="F265" s="3">
        <v>0.17760000000000001</v>
      </c>
      <c r="G265" s="3">
        <v>0.69601400000000002</v>
      </c>
      <c r="H265" s="1" t="s">
        <v>10</v>
      </c>
    </row>
    <row r="266" spans="1:8" x14ac:dyDescent="0.3">
      <c r="A266" s="1">
        <v>2012</v>
      </c>
      <c r="B266" s="1">
        <v>8</v>
      </c>
      <c r="C266" s="1">
        <v>15</v>
      </c>
      <c r="D266" s="6">
        <v>2012.6202189999999</v>
      </c>
      <c r="E266" s="3">
        <v>324.43599999999998</v>
      </c>
      <c r="F266" s="3">
        <v>0.16339999999999999</v>
      </c>
      <c r="G266" s="3">
        <v>0.71801800000000005</v>
      </c>
      <c r="H266" s="1" t="s">
        <v>10</v>
      </c>
    </row>
    <row r="267" spans="1:8" x14ac:dyDescent="0.3">
      <c r="A267" s="1">
        <v>2012</v>
      </c>
      <c r="B267" s="1">
        <v>9</v>
      </c>
      <c r="C267" s="1">
        <v>15</v>
      </c>
      <c r="D267" s="6">
        <v>2012.7049179999999</v>
      </c>
      <c r="E267" s="3">
        <v>324.69</v>
      </c>
      <c r="F267" s="3">
        <v>0.1946</v>
      </c>
      <c r="G267" s="3">
        <v>1.07599</v>
      </c>
      <c r="H267" s="1" t="s">
        <v>10</v>
      </c>
    </row>
    <row r="268" spans="1:8" x14ac:dyDescent="0.3">
      <c r="A268" s="1">
        <v>2012</v>
      </c>
      <c r="B268" s="1">
        <v>10</v>
      </c>
      <c r="C268" s="1">
        <v>15</v>
      </c>
      <c r="D268" s="6">
        <v>2012.786885</v>
      </c>
      <c r="E268" s="3">
        <v>324.78399999999999</v>
      </c>
      <c r="F268" s="3">
        <v>8.3400000000000002E-2</v>
      </c>
      <c r="G268" s="3">
        <v>1</v>
      </c>
      <c r="H268" s="1" t="s">
        <v>10</v>
      </c>
    </row>
    <row r="269" spans="1:8" x14ac:dyDescent="0.3">
      <c r="A269" s="1">
        <v>2012</v>
      </c>
      <c r="B269" s="1">
        <v>11</v>
      </c>
      <c r="C269" s="1">
        <v>15</v>
      </c>
      <c r="D269" s="6">
        <v>2012.8715850000001</v>
      </c>
      <c r="E269" s="3">
        <v>325.04899999999998</v>
      </c>
      <c r="F269" s="3">
        <v>0.15939999999999999</v>
      </c>
      <c r="G269" s="3">
        <v>0.61898799999999998</v>
      </c>
      <c r="H269" s="1" t="s">
        <v>10</v>
      </c>
    </row>
    <row r="270" spans="1:8" x14ac:dyDescent="0.3">
      <c r="A270" s="1">
        <v>2012</v>
      </c>
      <c r="B270" s="1">
        <v>12</v>
      </c>
      <c r="C270" s="1">
        <v>15</v>
      </c>
      <c r="D270" s="6">
        <v>2012.9535519999999</v>
      </c>
      <c r="E270" s="3">
        <v>325.07900000000001</v>
      </c>
      <c r="F270" s="3">
        <v>0.19889999999999999</v>
      </c>
      <c r="G270" s="3">
        <v>0.83697500000000002</v>
      </c>
      <c r="H270" s="1" t="s">
        <v>10</v>
      </c>
    </row>
    <row r="271" spans="1:8" x14ac:dyDescent="0.3">
      <c r="A271" s="1">
        <v>2013</v>
      </c>
      <c r="B271" s="1">
        <v>1</v>
      </c>
      <c r="C271" s="1">
        <v>15</v>
      </c>
      <c r="D271" s="6">
        <v>2013.038356</v>
      </c>
      <c r="E271" s="3">
        <v>324.92700000000002</v>
      </c>
      <c r="F271" s="3">
        <v>0.4577</v>
      </c>
      <c r="G271" s="3">
        <v>1.27399</v>
      </c>
      <c r="H271" s="1" t="s">
        <v>10</v>
      </c>
    </row>
    <row r="272" spans="1:8" x14ac:dyDescent="0.3">
      <c r="A272" s="1">
        <v>2013</v>
      </c>
      <c r="B272" s="1">
        <v>2</v>
      </c>
      <c r="C272" s="1">
        <v>15</v>
      </c>
      <c r="D272" s="6">
        <v>2013.123288</v>
      </c>
      <c r="E272" s="3">
        <v>324.88900000000001</v>
      </c>
      <c r="F272" s="3">
        <v>0.193</v>
      </c>
      <c r="G272" s="3">
        <v>0.95498700000000003</v>
      </c>
      <c r="H272" s="1" t="s">
        <v>10</v>
      </c>
    </row>
    <row r="273" spans="1:8" x14ac:dyDescent="0.3">
      <c r="A273" s="1">
        <v>2013</v>
      </c>
      <c r="B273" s="1">
        <v>3</v>
      </c>
      <c r="C273" s="1">
        <v>15</v>
      </c>
      <c r="D273" s="6">
        <v>2013.2</v>
      </c>
      <c r="E273" s="3">
        <v>324.822</v>
      </c>
      <c r="F273" s="3">
        <v>1.55E-2</v>
      </c>
      <c r="G273" s="3">
        <v>0.83700600000000003</v>
      </c>
      <c r="H273" s="1" t="s">
        <v>10</v>
      </c>
    </row>
    <row r="274" spans="1:8" x14ac:dyDescent="0.3">
      <c r="A274" s="1">
        <v>2013</v>
      </c>
      <c r="B274" s="1">
        <v>4</v>
      </c>
      <c r="C274" s="1">
        <v>15</v>
      </c>
      <c r="D274" s="6">
        <v>2013.284932</v>
      </c>
      <c r="E274" s="3">
        <v>324.80799999999999</v>
      </c>
      <c r="F274" s="3">
        <v>0.3226</v>
      </c>
      <c r="G274" s="3">
        <v>0.912018</v>
      </c>
      <c r="H274" s="1" t="s">
        <v>10</v>
      </c>
    </row>
    <row r="275" spans="1:8" x14ac:dyDescent="0.3">
      <c r="A275" s="1">
        <v>2013</v>
      </c>
      <c r="B275" s="1">
        <v>5</v>
      </c>
      <c r="C275" s="1">
        <v>15</v>
      </c>
      <c r="D275" s="6">
        <v>2013.367123</v>
      </c>
      <c r="E275" s="3">
        <v>324.74599999999998</v>
      </c>
      <c r="F275" s="3">
        <v>9.8000000000000004E-2</v>
      </c>
      <c r="G275" s="3">
        <v>0.54998800000000003</v>
      </c>
      <c r="H275" s="1" t="s">
        <v>10</v>
      </c>
    </row>
    <row r="276" spans="1:8" x14ac:dyDescent="0.3">
      <c r="A276" s="1">
        <v>2013</v>
      </c>
      <c r="B276" s="1">
        <v>6</v>
      </c>
      <c r="C276" s="1">
        <v>15</v>
      </c>
      <c r="D276" s="6">
        <v>2013.452055</v>
      </c>
      <c r="E276" s="3">
        <v>324.94200000000001</v>
      </c>
      <c r="F276" s="3">
        <v>0.13070000000000001</v>
      </c>
      <c r="G276" s="3">
        <v>0.36898799999999998</v>
      </c>
      <c r="H276" s="1" t="s">
        <v>10</v>
      </c>
    </row>
    <row r="277" spans="1:8" x14ac:dyDescent="0.3">
      <c r="A277" s="1">
        <v>2013</v>
      </c>
      <c r="B277" s="1">
        <v>7</v>
      </c>
      <c r="C277" s="1">
        <v>15</v>
      </c>
      <c r="D277" s="6">
        <v>2013.5342470000001</v>
      </c>
      <c r="E277" s="3">
        <v>325.35700000000003</v>
      </c>
      <c r="F277" s="3">
        <v>7.4999999999999997E-2</v>
      </c>
      <c r="G277" s="3">
        <v>0.50601200000000002</v>
      </c>
      <c r="H277" s="1" t="s">
        <v>10</v>
      </c>
    </row>
    <row r="278" spans="1:8" x14ac:dyDescent="0.3">
      <c r="A278" s="1">
        <v>2013</v>
      </c>
      <c r="B278" s="1">
        <v>8</v>
      </c>
      <c r="C278" s="1">
        <v>15</v>
      </c>
      <c r="D278" s="6">
        <v>2013.6191779999999</v>
      </c>
      <c r="E278" s="3">
        <v>325.39100000000002</v>
      </c>
      <c r="F278" s="3">
        <v>0.25890000000000002</v>
      </c>
      <c r="G278" s="3">
        <v>0.75399799999999995</v>
      </c>
      <c r="H278" s="1" t="s">
        <v>10</v>
      </c>
    </row>
    <row r="279" spans="1:8" x14ac:dyDescent="0.3">
      <c r="A279" s="1">
        <v>2013</v>
      </c>
      <c r="B279" s="1">
        <v>9</v>
      </c>
      <c r="C279" s="1">
        <v>15</v>
      </c>
      <c r="D279" s="6">
        <v>2013.7041099999999</v>
      </c>
      <c r="E279" s="3">
        <v>325.52699999999999</v>
      </c>
      <c r="F279" s="3">
        <v>0.15490000000000001</v>
      </c>
      <c r="G279" s="3">
        <v>0.82000700000000004</v>
      </c>
      <c r="H279" s="1" t="s">
        <v>10</v>
      </c>
    </row>
    <row r="280" spans="1:8" x14ac:dyDescent="0.3">
      <c r="A280" s="1">
        <v>2013</v>
      </c>
      <c r="B280" s="1">
        <v>10</v>
      </c>
      <c r="C280" s="1">
        <v>15</v>
      </c>
      <c r="D280" s="6">
        <v>2013.7863010000001</v>
      </c>
      <c r="E280" s="3">
        <v>325.69600000000003</v>
      </c>
      <c r="F280" s="3">
        <v>0.48359999999999997</v>
      </c>
      <c r="G280" s="3">
        <v>0.71197500000000002</v>
      </c>
      <c r="H280" s="1" t="s">
        <v>10</v>
      </c>
    </row>
    <row r="281" spans="1:8" x14ac:dyDescent="0.3">
      <c r="A281" s="1">
        <v>2013</v>
      </c>
      <c r="B281" s="1">
        <v>11</v>
      </c>
      <c r="C281" s="1">
        <v>15</v>
      </c>
      <c r="D281" s="6">
        <v>2013.8712330000001</v>
      </c>
      <c r="E281" s="3">
        <v>325.59899999999999</v>
      </c>
      <c r="F281" s="3">
        <v>0.2054</v>
      </c>
      <c r="G281" s="3">
        <v>0.87298600000000004</v>
      </c>
      <c r="H281" s="1" t="s">
        <v>10</v>
      </c>
    </row>
    <row r="282" spans="1:8" x14ac:dyDescent="0.3">
      <c r="A282" s="1">
        <v>2013</v>
      </c>
      <c r="B282" s="1">
        <v>12</v>
      </c>
      <c r="C282" s="1">
        <v>15</v>
      </c>
      <c r="D282" s="6">
        <v>2013.9534249999999</v>
      </c>
      <c r="E282" s="3">
        <v>325.44799999999998</v>
      </c>
      <c r="F282" s="3">
        <v>0.45800000000000002</v>
      </c>
      <c r="G282" s="3">
        <v>0.97201499999999996</v>
      </c>
      <c r="H282" s="1" t="s">
        <v>10</v>
      </c>
    </row>
    <row r="283" spans="1:8" x14ac:dyDescent="0.3">
      <c r="A283" s="1">
        <v>2014</v>
      </c>
      <c r="B283" s="1">
        <v>1</v>
      </c>
      <c r="C283" s="1">
        <v>15</v>
      </c>
      <c r="D283" s="6">
        <v>2014.038356</v>
      </c>
      <c r="E283" s="3">
        <v>325.43299999999999</v>
      </c>
      <c r="F283" s="3">
        <v>0.1076</v>
      </c>
      <c r="G283" s="3">
        <v>0.85900900000000002</v>
      </c>
      <c r="H283" s="1" t="s">
        <v>10</v>
      </c>
    </row>
    <row r="284" spans="1:8" x14ac:dyDescent="0.3">
      <c r="A284" s="1">
        <v>2014</v>
      </c>
      <c r="B284" s="1">
        <v>2</v>
      </c>
      <c r="C284" s="1">
        <v>15</v>
      </c>
      <c r="D284" s="6">
        <v>2014.123288</v>
      </c>
      <c r="E284" s="3">
        <v>325.64299999999997</v>
      </c>
      <c r="F284" s="3">
        <v>6.0699999999999997E-2</v>
      </c>
      <c r="G284" s="3">
        <v>1.0970200000000001</v>
      </c>
      <c r="H284" s="1" t="s">
        <v>10</v>
      </c>
    </row>
    <row r="285" spans="1:8" x14ac:dyDescent="0.3">
      <c r="A285" s="1">
        <v>2014</v>
      </c>
      <c r="B285" s="1">
        <v>3</v>
      </c>
      <c r="C285" s="1">
        <v>15</v>
      </c>
      <c r="D285" s="6">
        <v>2014.2</v>
      </c>
      <c r="E285" s="3">
        <v>325.642</v>
      </c>
      <c r="F285" s="3">
        <v>0.20019999999999999</v>
      </c>
      <c r="G285" s="3">
        <v>1.0740099999999999</v>
      </c>
      <c r="H285" s="1" t="s">
        <v>10</v>
      </c>
    </row>
    <row r="286" spans="1:8" x14ac:dyDescent="0.3">
      <c r="A286" s="1">
        <v>2014</v>
      </c>
      <c r="B286" s="1">
        <v>4</v>
      </c>
      <c r="C286" s="1">
        <v>15</v>
      </c>
      <c r="D286" s="6">
        <v>2014.284932</v>
      </c>
      <c r="E286" s="3">
        <v>325.52</v>
      </c>
      <c r="F286" s="3">
        <v>0.16350000000000001</v>
      </c>
      <c r="G286" s="3">
        <v>0.91098000000000001</v>
      </c>
      <c r="H286" s="1" t="s">
        <v>10</v>
      </c>
    </row>
    <row r="287" spans="1:8" x14ac:dyDescent="0.3">
      <c r="A287" s="1">
        <v>2014</v>
      </c>
      <c r="B287" s="1">
        <v>5</v>
      </c>
      <c r="C287" s="1">
        <v>15</v>
      </c>
      <c r="D287" s="6">
        <v>2014.367123</v>
      </c>
      <c r="E287" s="3">
        <v>325.61900000000003</v>
      </c>
      <c r="F287" s="3">
        <v>0.27489999999999998</v>
      </c>
      <c r="G287" s="3">
        <v>1.3380099999999999</v>
      </c>
      <c r="H287" s="1" t="s">
        <v>10</v>
      </c>
    </row>
    <row r="288" spans="1:8" x14ac:dyDescent="0.3">
      <c r="A288" s="1">
        <v>2014</v>
      </c>
      <c r="B288" s="1">
        <v>6</v>
      </c>
      <c r="C288" s="1">
        <v>15</v>
      </c>
      <c r="D288" s="6">
        <v>2014.452055</v>
      </c>
      <c r="E288" s="3">
        <v>325.91399999999999</v>
      </c>
      <c r="F288" s="3">
        <v>0.2475</v>
      </c>
      <c r="G288" s="3">
        <v>1.6950099999999999</v>
      </c>
      <c r="H288" s="1" t="s">
        <v>10</v>
      </c>
    </row>
    <row r="289" spans="1:8" x14ac:dyDescent="0.3">
      <c r="A289" s="1">
        <v>2014</v>
      </c>
      <c r="B289" s="1">
        <v>7</v>
      </c>
      <c r="C289" s="1">
        <v>15</v>
      </c>
      <c r="D289" s="6">
        <v>2014.5342470000001</v>
      </c>
      <c r="E289" s="3">
        <v>326.21600000000001</v>
      </c>
      <c r="F289" s="3">
        <v>8.0299999999999996E-2</v>
      </c>
      <c r="G289" s="3">
        <v>1.67099</v>
      </c>
      <c r="H289" s="1" t="s">
        <v>10</v>
      </c>
    </row>
    <row r="290" spans="1:8" x14ac:dyDescent="0.3">
      <c r="A290" s="1">
        <v>2014</v>
      </c>
      <c r="B290" s="1">
        <v>8</v>
      </c>
      <c r="C290" s="1">
        <v>15</v>
      </c>
      <c r="D290" s="6">
        <v>2014.6191779999999</v>
      </c>
      <c r="E290" s="3">
        <v>326.488</v>
      </c>
      <c r="F290" s="3">
        <v>0.31019999999999998</v>
      </c>
      <c r="G290" s="3">
        <v>1.35599</v>
      </c>
      <c r="H290" s="1" t="s">
        <v>10</v>
      </c>
    </row>
    <row r="291" spans="1:8" x14ac:dyDescent="0.3">
      <c r="A291" s="1">
        <v>2014</v>
      </c>
      <c r="B291" s="1">
        <v>9</v>
      </c>
      <c r="C291" s="1">
        <v>15</v>
      </c>
      <c r="D291" s="6">
        <v>2014.7041099999999</v>
      </c>
      <c r="E291" s="3">
        <v>326.601</v>
      </c>
      <c r="F291" s="3">
        <v>0.12479999999999999</v>
      </c>
      <c r="G291" s="3">
        <v>1.1910099999999999</v>
      </c>
      <c r="H291" s="1" t="s">
        <v>10</v>
      </c>
    </row>
    <row r="292" spans="1:8" x14ac:dyDescent="0.3">
      <c r="A292" s="1">
        <v>2014</v>
      </c>
      <c r="B292" s="1">
        <v>10</v>
      </c>
      <c r="C292" s="1">
        <v>15</v>
      </c>
      <c r="D292" s="6">
        <v>2014.7863010000001</v>
      </c>
      <c r="E292" s="3">
        <v>326.60700000000003</v>
      </c>
      <c r="F292" s="3">
        <v>0.29459999999999997</v>
      </c>
      <c r="G292" s="3">
        <v>1.34402</v>
      </c>
      <c r="H292" s="1" t="s">
        <v>10</v>
      </c>
    </row>
    <row r="293" spans="1:8" x14ac:dyDescent="0.3">
      <c r="A293" s="1">
        <v>2014</v>
      </c>
      <c r="B293" s="1">
        <v>11</v>
      </c>
      <c r="C293" s="1">
        <v>15</v>
      </c>
      <c r="D293" s="6">
        <v>2014.8712330000001</v>
      </c>
      <c r="E293" s="3">
        <v>326.93700000000001</v>
      </c>
      <c r="F293" s="3">
        <v>0.2281</v>
      </c>
      <c r="G293" s="3">
        <v>1.37402</v>
      </c>
      <c r="H293" s="1" t="s">
        <v>10</v>
      </c>
    </row>
    <row r="294" spans="1:8" x14ac:dyDescent="0.3">
      <c r="A294" s="1">
        <v>2014</v>
      </c>
      <c r="B294" s="1">
        <v>12</v>
      </c>
      <c r="C294" s="1">
        <v>15</v>
      </c>
      <c r="D294" s="6">
        <v>2014.9534249999999</v>
      </c>
      <c r="E294" s="3">
        <v>327.14299999999997</v>
      </c>
      <c r="F294" s="3">
        <v>0.34760000000000002</v>
      </c>
      <c r="G294" s="3">
        <v>1.2820100000000001</v>
      </c>
      <c r="H294" s="1" t="s">
        <v>10</v>
      </c>
    </row>
    <row r="295" spans="1:8" x14ac:dyDescent="0.3">
      <c r="A295" s="1">
        <v>2015</v>
      </c>
      <c r="B295" s="1">
        <v>1</v>
      </c>
      <c r="C295" s="1">
        <v>15</v>
      </c>
      <c r="D295" s="6">
        <v>2015.038356</v>
      </c>
      <c r="E295" s="3">
        <v>327.10399999999998</v>
      </c>
      <c r="F295" s="3">
        <v>0.21279999999999999</v>
      </c>
      <c r="G295" s="3">
        <v>1.19299</v>
      </c>
      <c r="H295" s="1" t="s">
        <v>10</v>
      </c>
    </row>
    <row r="296" spans="1:8" x14ac:dyDescent="0.3">
      <c r="A296" s="1">
        <v>2015</v>
      </c>
      <c r="B296" s="1">
        <v>2</v>
      </c>
      <c r="C296" s="1">
        <v>15</v>
      </c>
      <c r="D296" s="6">
        <v>2015.123288</v>
      </c>
      <c r="E296" s="3">
        <v>326.99900000000002</v>
      </c>
      <c r="F296" s="3">
        <v>7.5200000000000003E-2</v>
      </c>
      <c r="G296" s="3">
        <v>0.98300200000000004</v>
      </c>
      <c r="H296" s="1" t="s">
        <v>10</v>
      </c>
    </row>
    <row r="297" spans="1:8" x14ac:dyDescent="0.3">
      <c r="A297" s="1">
        <v>2015</v>
      </c>
      <c r="B297" s="1">
        <v>3</v>
      </c>
      <c r="C297" s="1">
        <v>15</v>
      </c>
      <c r="D297" s="6">
        <v>2015.2</v>
      </c>
      <c r="E297" s="3">
        <v>326.83300000000003</v>
      </c>
      <c r="F297" s="3">
        <v>0.2676</v>
      </c>
      <c r="G297" s="3">
        <v>0.93997200000000003</v>
      </c>
      <c r="H297" s="1" t="s">
        <v>10</v>
      </c>
    </row>
    <row r="298" spans="1:8" x14ac:dyDescent="0.3">
      <c r="A298" s="1">
        <v>2015</v>
      </c>
      <c r="B298" s="1">
        <v>4</v>
      </c>
      <c r="C298" s="1">
        <v>15</v>
      </c>
      <c r="D298" s="6">
        <v>2015.284932</v>
      </c>
      <c r="E298" s="3">
        <v>326.86399999999998</v>
      </c>
      <c r="F298" s="3">
        <v>0.2828</v>
      </c>
      <c r="G298" s="3">
        <v>1.0169999999999999</v>
      </c>
      <c r="H298" s="1" t="s">
        <v>10</v>
      </c>
    </row>
    <row r="299" spans="1:8" x14ac:dyDescent="0.3">
      <c r="A299" s="1">
        <v>2015</v>
      </c>
      <c r="B299" s="1">
        <v>5</v>
      </c>
      <c r="C299" s="1">
        <v>15</v>
      </c>
      <c r="D299" s="6">
        <v>2015.367123</v>
      </c>
      <c r="E299" s="3">
        <v>326.99299999999999</v>
      </c>
      <c r="F299" s="3">
        <v>0.1704</v>
      </c>
      <c r="G299" s="3">
        <v>0.79797399999999996</v>
      </c>
      <c r="H299" s="1" t="s">
        <v>10</v>
      </c>
    </row>
    <row r="300" spans="1:8" x14ac:dyDescent="0.3">
      <c r="A300" s="1">
        <v>2015</v>
      </c>
      <c r="B300" s="1">
        <v>6</v>
      </c>
      <c r="C300" s="1">
        <v>15</v>
      </c>
      <c r="D300" s="6">
        <v>2015.452055</v>
      </c>
      <c r="E300" s="3">
        <v>327.19600000000003</v>
      </c>
      <c r="F300" s="3">
        <v>0.1318</v>
      </c>
      <c r="G300" s="3">
        <v>0.78198199999999995</v>
      </c>
      <c r="H300" s="1" t="s">
        <v>10</v>
      </c>
    </row>
    <row r="301" spans="1:8" x14ac:dyDescent="0.3">
      <c r="A301" s="1">
        <v>2015</v>
      </c>
      <c r="B301" s="1">
        <v>7</v>
      </c>
      <c r="C301" s="1">
        <v>15</v>
      </c>
      <c r="D301" s="6">
        <v>2015.5342470000001</v>
      </c>
      <c r="E301" s="3">
        <v>327.40899999999999</v>
      </c>
      <c r="F301" s="3">
        <v>0.17349999999999999</v>
      </c>
      <c r="G301" s="3">
        <v>0.87200900000000003</v>
      </c>
      <c r="H301" s="1" t="s">
        <v>10</v>
      </c>
    </row>
    <row r="302" spans="1:8" x14ac:dyDescent="0.3">
      <c r="A302" s="1">
        <v>2015</v>
      </c>
      <c r="B302" s="1">
        <v>8</v>
      </c>
      <c r="C302" s="1">
        <v>15</v>
      </c>
      <c r="D302" s="6">
        <v>2015.6191779999999</v>
      </c>
      <c r="E302" s="3">
        <v>327.471</v>
      </c>
      <c r="F302" s="3">
        <v>0.2772</v>
      </c>
      <c r="G302" s="3">
        <v>0.890015</v>
      </c>
      <c r="H302" s="1" t="s">
        <v>10</v>
      </c>
    </row>
    <row r="303" spans="1:8" x14ac:dyDescent="0.3">
      <c r="A303" s="1">
        <v>2015</v>
      </c>
      <c r="B303" s="1">
        <v>9</v>
      </c>
      <c r="C303" s="1">
        <v>15</v>
      </c>
      <c r="D303" s="6">
        <v>2015.7041099999999</v>
      </c>
      <c r="E303" s="3">
        <v>327.541</v>
      </c>
      <c r="F303" s="3">
        <v>0.14410000000000001</v>
      </c>
      <c r="G303" s="3">
        <v>0.92898599999999998</v>
      </c>
      <c r="H303" s="1" t="s">
        <v>10</v>
      </c>
    </row>
    <row r="304" spans="1:8" x14ac:dyDescent="0.3">
      <c r="A304" s="1">
        <v>2015</v>
      </c>
      <c r="B304" s="1">
        <v>10</v>
      </c>
      <c r="C304" s="1">
        <v>15</v>
      </c>
      <c r="D304" s="6">
        <v>2015.7863010000001</v>
      </c>
      <c r="E304" s="3">
        <v>327.62400000000002</v>
      </c>
      <c r="F304" s="3">
        <v>0.1113</v>
      </c>
      <c r="G304" s="3">
        <v>0.70098899999999997</v>
      </c>
      <c r="H304" s="1" t="s">
        <v>10</v>
      </c>
    </row>
    <row r="305" spans="1:8" x14ac:dyDescent="0.3">
      <c r="A305" s="1">
        <v>2015</v>
      </c>
      <c r="B305" s="1">
        <v>11</v>
      </c>
      <c r="C305" s="1">
        <v>15</v>
      </c>
      <c r="D305" s="6">
        <v>2015.8712330000001</v>
      </c>
      <c r="E305" s="3">
        <v>327.73500000000001</v>
      </c>
      <c r="F305" s="3">
        <v>0.15989999999999999</v>
      </c>
      <c r="G305" s="3">
        <v>0.59298700000000004</v>
      </c>
      <c r="H305" s="1" t="s">
        <v>10</v>
      </c>
    </row>
    <row r="306" spans="1:8" x14ac:dyDescent="0.3">
      <c r="A306" s="1">
        <v>2015</v>
      </c>
      <c r="B306" s="1">
        <v>12</v>
      </c>
      <c r="C306" s="1">
        <v>15</v>
      </c>
      <c r="D306" s="6">
        <v>2015.9534249999999</v>
      </c>
      <c r="E306" s="3">
        <v>327.92500000000001</v>
      </c>
      <c r="F306" s="3">
        <v>0.27060000000000001</v>
      </c>
      <c r="G306" s="3">
        <v>0.47299200000000002</v>
      </c>
      <c r="H306" s="1" t="s">
        <v>10</v>
      </c>
    </row>
    <row r="307" spans="1:8" x14ac:dyDescent="0.3">
      <c r="A307" s="1">
        <v>2016</v>
      </c>
      <c r="B307" s="1">
        <v>1</v>
      </c>
      <c r="C307" s="1">
        <v>15</v>
      </c>
      <c r="D307" s="6">
        <v>2016.0382509999999</v>
      </c>
      <c r="E307" s="3">
        <v>327.976</v>
      </c>
      <c r="F307" s="3">
        <v>0.2505</v>
      </c>
      <c r="G307" s="3">
        <v>0.29699700000000001</v>
      </c>
      <c r="H307" s="1" t="s">
        <v>10</v>
      </c>
    </row>
    <row r="308" spans="1:8" x14ac:dyDescent="0.3">
      <c r="A308" s="1">
        <v>2016</v>
      </c>
      <c r="B308" s="1">
        <v>2</v>
      </c>
      <c r="C308" s="1">
        <v>15</v>
      </c>
      <c r="D308" s="6">
        <v>2016.1229510000001</v>
      </c>
      <c r="E308" s="3">
        <v>327.88900000000001</v>
      </c>
      <c r="F308" s="3">
        <v>0.155</v>
      </c>
      <c r="G308" s="3">
        <v>0.59799199999999997</v>
      </c>
      <c r="H308" s="1" t="s">
        <v>10</v>
      </c>
    </row>
    <row r="309" spans="1:8" x14ac:dyDescent="0.3">
      <c r="A309" s="1">
        <v>2016</v>
      </c>
      <c r="B309" s="1">
        <v>3</v>
      </c>
      <c r="C309" s="1">
        <v>15</v>
      </c>
      <c r="D309" s="6">
        <v>2016.202186</v>
      </c>
      <c r="E309" s="3">
        <v>327.762</v>
      </c>
      <c r="F309" s="3">
        <v>0.18360000000000001</v>
      </c>
      <c r="G309" s="3">
        <v>0.85101300000000002</v>
      </c>
      <c r="H309" s="1" t="s">
        <v>10</v>
      </c>
    </row>
    <row r="310" spans="1:8" x14ac:dyDescent="0.3">
      <c r="A310" s="1">
        <v>2016</v>
      </c>
      <c r="B310" s="1">
        <v>4</v>
      </c>
      <c r="C310" s="1">
        <v>15</v>
      </c>
      <c r="D310" s="6">
        <v>2016.286885</v>
      </c>
      <c r="E310" s="3">
        <v>327.565</v>
      </c>
      <c r="F310" s="3">
        <v>0.21540000000000001</v>
      </c>
      <c r="G310" s="3">
        <v>0.69799800000000001</v>
      </c>
      <c r="H310" s="1" t="s">
        <v>10</v>
      </c>
    </row>
    <row r="311" spans="1:8" x14ac:dyDescent="0.3">
      <c r="A311" s="1">
        <v>2016</v>
      </c>
      <c r="B311" s="1">
        <v>5</v>
      </c>
      <c r="C311" s="1">
        <v>15</v>
      </c>
      <c r="D311" s="6">
        <v>2016.3688520000001</v>
      </c>
      <c r="E311" s="3">
        <v>327.58600000000001</v>
      </c>
      <c r="F311" s="3">
        <v>0.31</v>
      </c>
      <c r="G311" s="3">
        <v>0.58102399999999998</v>
      </c>
      <c r="H311" s="1" t="s">
        <v>10</v>
      </c>
    </row>
    <row r="312" spans="1:8" x14ac:dyDescent="0.3">
      <c r="A312" s="1">
        <v>2016</v>
      </c>
      <c r="B312" s="1">
        <v>6</v>
      </c>
      <c r="C312" s="1">
        <v>15</v>
      </c>
      <c r="D312" s="6">
        <v>2016.4535519999999</v>
      </c>
      <c r="E312" s="3">
        <v>327.66899999999998</v>
      </c>
      <c r="F312" s="3">
        <v>0.2414</v>
      </c>
      <c r="G312" s="3">
        <v>0.54000899999999996</v>
      </c>
      <c r="H312" s="1" t="s">
        <v>10</v>
      </c>
    </row>
    <row r="313" spans="1:8" x14ac:dyDescent="0.3">
      <c r="A313" s="1">
        <v>2016</v>
      </c>
      <c r="B313" s="1">
        <v>7</v>
      </c>
      <c r="C313" s="1">
        <v>15</v>
      </c>
      <c r="D313" s="6">
        <v>2016.535519</v>
      </c>
      <c r="E313" s="3">
        <v>327.70600000000002</v>
      </c>
      <c r="F313" s="3">
        <v>0.17710000000000001</v>
      </c>
      <c r="G313" s="3">
        <v>0.52099600000000001</v>
      </c>
      <c r="H313" s="1" t="s">
        <v>10</v>
      </c>
    </row>
    <row r="314" spans="1:8" x14ac:dyDescent="0.3">
      <c r="A314" s="1">
        <v>2016</v>
      </c>
      <c r="B314" s="1">
        <v>8</v>
      </c>
      <c r="C314" s="1">
        <v>15</v>
      </c>
      <c r="D314" s="6">
        <v>2016.6202189999999</v>
      </c>
      <c r="E314" s="3">
        <v>328.06900000000002</v>
      </c>
      <c r="F314" s="3">
        <v>0.23619999999999999</v>
      </c>
      <c r="G314" s="3">
        <v>0.33898899999999998</v>
      </c>
      <c r="H314" s="1" t="s">
        <v>10</v>
      </c>
    </row>
    <row r="315" spans="1:8" x14ac:dyDescent="0.3">
      <c r="A315" s="1">
        <v>2016</v>
      </c>
      <c r="B315" s="1">
        <v>9</v>
      </c>
      <c r="C315" s="1">
        <v>15</v>
      </c>
      <c r="D315" s="6">
        <v>2016.7049179999999</v>
      </c>
      <c r="E315" s="3">
        <v>328.392</v>
      </c>
      <c r="F315" s="3">
        <v>0.31619999999999998</v>
      </c>
      <c r="G315" s="3">
        <v>0.32101400000000002</v>
      </c>
      <c r="H315" s="1" t="s">
        <v>10</v>
      </c>
    </row>
    <row r="316" spans="1:8" x14ac:dyDescent="0.3">
      <c r="A316" s="1">
        <v>2016</v>
      </c>
      <c r="B316" s="1">
        <v>10</v>
      </c>
      <c r="C316" s="1">
        <v>15</v>
      </c>
      <c r="D316" s="6">
        <v>2016.786885</v>
      </c>
      <c r="E316" s="3">
        <v>328.322</v>
      </c>
      <c r="F316" s="3">
        <v>0.21460000000000001</v>
      </c>
      <c r="G316" s="3">
        <v>0.71798700000000004</v>
      </c>
      <c r="H316" s="1" t="s">
        <v>10</v>
      </c>
    </row>
    <row r="317" spans="1:8" x14ac:dyDescent="0.3">
      <c r="A317" s="1">
        <v>2016</v>
      </c>
      <c r="B317" s="1">
        <v>11</v>
      </c>
      <c r="C317" s="1">
        <v>15</v>
      </c>
      <c r="D317" s="6">
        <v>2016.8715850000001</v>
      </c>
      <c r="E317" s="3">
        <v>328.31599999999997</v>
      </c>
      <c r="F317" s="3">
        <v>0.10299999999999999</v>
      </c>
      <c r="G317" s="3">
        <v>0.91101100000000002</v>
      </c>
      <c r="H317" s="1" t="s">
        <v>10</v>
      </c>
    </row>
    <row r="318" spans="1:8" x14ac:dyDescent="0.3">
      <c r="A318" s="1">
        <v>2016</v>
      </c>
      <c r="B318" s="1">
        <v>12</v>
      </c>
      <c r="C318" s="1">
        <v>15</v>
      </c>
      <c r="D318" s="6">
        <v>2016.9535519999999</v>
      </c>
      <c r="E318" s="3">
        <v>328.46499999999997</v>
      </c>
      <c r="F318" s="3">
        <v>0.1704</v>
      </c>
      <c r="G318" s="3">
        <v>0.92498800000000003</v>
      </c>
      <c r="H318" s="1" t="s">
        <v>10</v>
      </c>
    </row>
    <row r="319" spans="1:8" x14ac:dyDescent="0.3">
      <c r="A319" s="1">
        <v>2017</v>
      </c>
      <c r="B319" s="1">
        <v>1</v>
      </c>
      <c r="C319" s="1">
        <v>15</v>
      </c>
      <c r="D319" s="6">
        <v>2017.038356</v>
      </c>
      <c r="E319" s="3">
        <v>328.49700000000001</v>
      </c>
      <c r="F319" s="3">
        <v>0.2089</v>
      </c>
      <c r="G319" s="3">
        <v>1.0249900000000001</v>
      </c>
      <c r="H319" s="1" t="s">
        <v>10</v>
      </c>
    </row>
    <row r="320" spans="1:8" x14ac:dyDescent="0.3">
      <c r="A320" s="1">
        <v>2017</v>
      </c>
      <c r="B320" s="1">
        <v>2</v>
      </c>
      <c r="C320" s="1">
        <v>15</v>
      </c>
      <c r="D320" s="6">
        <v>2017.123288</v>
      </c>
      <c r="E320" s="3">
        <v>328.22800000000001</v>
      </c>
      <c r="F320" s="3">
        <v>0.28849999999999998</v>
      </c>
      <c r="G320" s="3">
        <v>1.0329900000000001</v>
      </c>
      <c r="H320" s="1" t="s">
        <v>10</v>
      </c>
    </row>
    <row r="321" spans="1:8" x14ac:dyDescent="0.3">
      <c r="A321" s="1">
        <v>2017</v>
      </c>
      <c r="B321" s="1">
        <v>3</v>
      </c>
      <c r="C321" s="1">
        <v>15</v>
      </c>
      <c r="D321" s="6">
        <v>2017.2</v>
      </c>
      <c r="E321" s="3">
        <v>328.08300000000003</v>
      </c>
      <c r="F321" s="3">
        <v>2.69E-2</v>
      </c>
      <c r="G321" s="3">
        <v>1.04999</v>
      </c>
      <c r="H321" s="1" t="s">
        <v>10</v>
      </c>
    </row>
    <row r="322" spans="1:8" x14ac:dyDescent="0.3">
      <c r="A322" s="1">
        <v>2017</v>
      </c>
      <c r="B322" s="1">
        <v>4</v>
      </c>
      <c r="C322" s="1">
        <v>15</v>
      </c>
      <c r="D322" s="6">
        <v>2017.284932</v>
      </c>
      <c r="E322" s="3">
        <v>328.28300000000002</v>
      </c>
      <c r="F322" s="3">
        <v>0.19950000000000001</v>
      </c>
      <c r="G322" s="3">
        <v>1.1990099999999999</v>
      </c>
      <c r="H322" s="1" t="s">
        <v>10</v>
      </c>
    </row>
    <row r="323" spans="1:8" x14ac:dyDescent="0.3">
      <c r="A323" s="1">
        <v>2017</v>
      </c>
      <c r="B323" s="1">
        <v>5</v>
      </c>
      <c r="C323" s="1">
        <v>15</v>
      </c>
      <c r="D323" s="6">
        <v>2017.367123</v>
      </c>
      <c r="E323" s="3">
        <v>328.49700000000001</v>
      </c>
      <c r="F323" s="3">
        <v>0.28310000000000002</v>
      </c>
      <c r="G323" s="3">
        <v>1.3079799999999999</v>
      </c>
      <c r="H323" s="1" t="s">
        <v>10</v>
      </c>
    </row>
    <row r="324" spans="1:8" x14ac:dyDescent="0.3">
      <c r="A324" s="1">
        <v>2017</v>
      </c>
      <c r="B324" s="1">
        <v>6</v>
      </c>
      <c r="C324" s="1">
        <v>15</v>
      </c>
      <c r="D324" s="6">
        <v>2017.452055</v>
      </c>
      <c r="E324" s="3">
        <v>328.59399999999999</v>
      </c>
      <c r="F324" s="3">
        <v>0.24099999999999999</v>
      </c>
      <c r="G324" s="3">
        <v>1.3690199999999999</v>
      </c>
      <c r="H324" s="1" t="s">
        <v>10</v>
      </c>
    </row>
    <row r="325" spans="1:8" x14ac:dyDescent="0.3">
      <c r="A325" s="1">
        <v>2017</v>
      </c>
      <c r="B325" s="1">
        <v>7</v>
      </c>
      <c r="C325" s="1">
        <v>15</v>
      </c>
      <c r="D325" s="6">
        <v>2017.5342470000001</v>
      </c>
      <c r="E325" s="3">
        <v>328.73099999999999</v>
      </c>
      <c r="F325" s="3">
        <v>0.29859999999999998</v>
      </c>
      <c r="G325" s="3">
        <v>1.401</v>
      </c>
      <c r="H325" s="1" t="s">
        <v>10</v>
      </c>
    </row>
    <row r="326" spans="1:8" x14ac:dyDescent="0.3">
      <c r="A326" s="1">
        <v>2017</v>
      </c>
      <c r="B326" s="1">
        <v>8</v>
      </c>
      <c r="C326" s="1">
        <v>15</v>
      </c>
      <c r="D326" s="6">
        <v>2017.6191779999999</v>
      </c>
      <c r="E326" s="3">
        <v>329.10199999999998</v>
      </c>
      <c r="F326" s="3">
        <v>0.27639999999999998</v>
      </c>
      <c r="G326" s="3">
        <v>1.73102</v>
      </c>
      <c r="H326" s="1" t="s">
        <v>10</v>
      </c>
    </row>
    <row r="327" spans="1:8" x14ac:dyDescent="0.3">
      <c r="A327" s="1">
        <v>2017</v>
      </c>
      <c r="B327" s="1">
        <v>9</v>
      </c>
      <c r="C327" s="1">
        <v>15</v>
      </c>
      <c r="D327" s="6">
        <v>2017.7041099999999</v>
      </c>
      <c r="E327" s="3">
        <v>329.44200000000001</v>
      </c>
      <c r="F327" s="3">
        <v>0.29759999999999998</v>
      </c>
      <c r="G327" s="3">
        <v>1.96899</v>
      </c>
      <c r="H327" s="1" t="s">
        <v>10</v>
      </c>
    </row>
    <row r="328" spans="1:8" x14ac:dyDescent="0.3">
      <c r="A328" s="1">
        <v>2017</v>
      </c>
      <c r="B328" s="1">
        <v>10</v>
      </c>
      <c r="C328" s="1">
        <v>15</v>
      </c>
      <c r="D328" s="6">
        <v>2017.7863010000001</v>
      </c>
      <c r="E328" s="3">
        <v>329.52100000000002</v>
      </c>
      <c r="F328" s="3">
        <v>0.24560000000000001</v>
      </c>
      <c r="G328" s="3">
        <v>1.8130200000000001</v>
      </c>
      <c r="H328" s="1" t="s">
        <v>10</v>
      </c>
    </row>
    <row r="329" spans="1:8" x14ac:dyDescent="0.3">
      <c r="A329" s="1">
        <v>2017</v>
      </c>
      <c r="B329" s="1">
        <v>11</v>
      </c>
      <c r="C329" s="1">
        <v>15</v>
      </c>
      <c r="D329" s="6">
        <v>2017.8712330000001</v>
      </c>
      <c r="E329" s="3">
        <v>329.62400000000002</v>
      </c>
      <c r="F329" s="3">
        <v>0.17549999999999999</v>
      </c>
      <c r="G329" s="3">
        <v>1.67899</v>
      </c>
      <c r="H329" s="1" t="s">
        <v>10</v>
      </c>
    </row>
    <row r="330" spans="1:8" x14ac:dyDescent="0.3">
      <c r="A330" s="1">
        <v>2017</v>
      </c>
      <c r="B330" s="1">
        <v>12</v>
      </c>
      <c r="C330" s="1">
        <v>15</v>
      </c>
      <c r="D330" s="6">
        <v>2017.9534249999999</v>
      </c>
      <c r="E330" s="3">
        <v>329.834</v>
      </c>
      <c r="F330" s="3">
        <v>0.25069999999999998</v>
      </c>
      <c r="G330" s="3">
        <v>1.65201</v>
      </c>
      <c r="H330" s="1" t="s">
        <v>10</v>
      </c>
    </row>
    <row r="331" spans="1:8" x14ac:dyDescent="0.3">
      <c r="A331" s="1">
        <v>2018</v>
      </c>
      <c r="B331" s="1">
        <v>1</v>
      </c>
      <c r="C331" s="1">
        <v>15</v>
      </c>
      <c r="D331" s="6">
        <v>2018.038356</v>
      </c>
      <c r="E331" s="3">
        <v>329.89800000000002</v>
      </c>
      <c r="F331" s="3">
        <v>0.193</v>
      </c>
      <c r="G331" s="3">
        <v>1.5510299999999999</v>
      </c>
      <c r="H331" s="1" t="s">
        <v>10</v>
      </c>
    </row>
    <row r="332" spans="1:8" x14ac:dyDescent="0.3">
      <c r="A332" s="1">
        <v>2018</v>
      </c>
      <c r="B332" s="1">
        <v>2</v>
      </c>
      <c r="C332" s="1">
        <v>15</v>
      </c>
      <c r="D332" s="6">
        <v>2018.123288</v>
      </c>
      <c r="E332" s="3">
        <v>329.959</v>
      </c>
      <c r="F332" s="3">
        <v>4.8099999999999997E-2</v>
      </c>
      <c r="G332" s="3">
        <v>1.35501</v>
      </c>
      <c r="H332" s="1" t="s">
        <v>10</v>
      </c>
    </row>
    <row r="333" spans="1:8" x14ac:dyDescent="0.3">
      <c r="A333" s="1">
        <v>2018</v>
      </c>
      <c r="B333" s="1">
        <v>3</v>
      </c>
      <c r="C333" s="1">
        <v>15</v>
      </c>
      <c r="D333" s="6">
        <v>2018.2</v>
      </c>
      <c r="E333" s="3">
        <v>330.05200000000002</v>
      </c>
      <c r="F333" s="3">
        <v>0.2873</v>
      </c>
      <c r="G333" s="3">
        <v>1.32901</v>
      </c>
      <c r="H333" s="1" t="s">
        <v>10</v>
      </c>
    </row>
    <row r="334" spans="1:8" x14ac:dyDescent="0.3">
      <c r="A334" s="1">
        <v>2018</v>
      </c>
      <c r="B334" s="1">
        <v>4</v>
      </c>
      <c r="C334" s="1">
        <v>15</v>
      </c>
      <c r="D334" s="6">
        <v>2018.284932</v>
      </c>
      <c r="E334" s="3">
        <v>330.096</v>
      </c>
      <c r="F334" s="3">
        <v>0.21110000000000001</v>
      </c>
      <c r="G334" s="3">
        <v>1.2929999999999999</v>
      </c>
      <c r="H334" s="1" t="s">
        <v>10</v>
      </c>
    </row>
    <row r="335" spans="1:8" x14ac:dyDescent="0.3">
      <c r="A335" s="1">
        <v>2018</v>
      </c>
      <c r="B335" s="1">
        <v>5</v>
      </c>
      <c r="C335" s="1">
        <v>15</v>
      </c>
      <c r="D335" s="6">
        <v>2018.367123</v>
      </c>
      <c r="E335" s="3">
        <v>330.17599999999999</v>
      </c>
      <c r="F335" s="3">
        <v>2.87E-2</v>
      </c>
      <c r="G335" s="3">
        <v>1.147</v>
      </c>
      <c r="H335" s="1" t="s">
        <v>10</v>
      </c>
    </row>
    <row r="336" spans="1:8" x14ac:dyDescent="0.3">
      <c r="A336" s="1">
        <v>2018</v>
      </c>
      <c r="B336" s="1">
        <v>6</v>
      </c>
      <c r="C336" s="1">
        <v>15</v>
      </c>
      <c r="D336" s="6">
        <v>2018.452055</v>
      </c>
      <c r="E336" s="3">
        <v>330.24599999999998</v>
      </c>
      <c r="F336" s="3">
        <v>0.41870000000000002</v>
      </c>
      <c r="G336" s="3">
        <v>1.2869900000000001</v>
      </c>
      <c r="H336" s="1" t="s">
        <v>10</v>
      </c>
    </row>
    <row r="337" spans="1:8" x14ac:dyDescent="0.3">
      <c r="A337" s="1">
        <v>2018</v>
      </c>
      <c r="B337" s="1">
        <v>7</v>
      </c>
      <c r="C337" s="1">
        <v>15</v>
      </c>
      <c r="D337" s="6">
        <v>2018.5342470000001</v>
      </c>
      <c r="E337" s="3">
        <v>330.28199999999998</v>
      </c>
      <c r="F337" s="3">
        <v>0.32450000000000001</v>
      </c>
      <c r="G337" s="3">
        <v>1.2129799999999999</v>
      </c>
      <c r="H337" s="1" t="s">
        <v>10</v>
      </c>
    </row>
    <row r="338" spans="1:8" x14ac:dyDescent="0.3">
      <c r="A338" s="1">
        <v>2018</v>
      </c>
      <c r="B338" s="1">
        <v>8</v>
      </c>
      <c r="C338" s="1">
        <v>15</v>
      </c>
      <c r="D338" s="6">
        <v>2018.6191779999999</v>
      </c>
      <c r="E338" s="3">
        <v>330.45699999999999</v>
      </c>
      <c r="F338" s="3">
        <v>0.20069999999999999</v>
      </c>
      <c r="G338" s="3">
        <v>0.69897500000000001</v>
      </c>
      <c r="H338" s="1" t="s">
        <v>10</v>
      </c>
    </row>
    <row r="339" spans="1:8" x14ac:dyDescent="0.3">
      <c r="A339" s="1">
        <v>2018</v>
      </c>
      <c r="B339" s="1">
        <v>9</v>
      </c>
      <c r="C339" s="1">
        <v>15</v>
      </c>
      <c r="D339" s="6">
        <v>2018.7041099999999</v>
      </c>
      <c r="E339" s="3">
        <v>330.77100000000002</v>
      </c>
      <c r="F339" s="3">
        <v>0.15579999999999999</v>
      </c>
      <c r="G339" s="3">
        <v>0.42700199999999999</v>
      </c>
      <c r="H339" s="1" t="s">
        <v>10</v>
      </c>
    </row>
    <row r="340" spans="1:8" x14ac:dyDescent="0.3">
      <c r="A340" s="1">
        <v>2018</v>
      </c>
      <c r="B340" s="1">
        <v>10</v>
      </c>
      <c r="C340" s="1">
        <v>15</v>
      </c>
      <c r="D340" s="6">
        <v>2018.7863010000001</v>
      </c>
      <c r="E340" s="3">
        <v>330.81400000000002</v>
      </c>
      <c r="F340" s="3">
        <v>7.5999999999999998E-2</v>
      </c>
      <c r="G340" s="3">
        <v>0.488983</v>
      </c>
      <c r="H340" s="1" t="s">
        <v>10</v>
      </c>
    </row>
    <row r="341" spans="1:8" x14ac:dyDescent="0.3">
      <c r="A341" s="1">
        <v>2018</v>
      </c>
      <c r="B341" s="1">
        <v>11</v>
      </c>
      <c r="C341" s="1">
        <v>15</v>
      </c>
      <c r="D341" s="6">
        <v>2018.8712330000001</v>
      </c>
      <c r="E341" s="3">
        <v>330.77100000000002</v>
      </c>
      <c r="F341" s="3">
        <v>0.26679999999999998</v>
      </c>
      <c r="G341" s="3">
        <v>0.44799800000000001</v>
      </c>
      <c r="H341" s="1" t="s">
        <v>10</v>
      </c>
    </row>
    <row r="342" spans="1:8" x14ac:dyDescent="0.3">
      <c r="A342" s="1">
        <v>2018</v>
      </c>
      <c r="B342" s="1">
        <v>12</v>
      </c>
      <c r="C342" s="1">
        <v>15</v>
      </c>
      <c r="D342" s="6">
        <v>2018.9534249999999</v>
      </c>
      <c r="E342" s="3">
        <v>331.12099999999998</v>
      </c>
      <c r="F342" s="3">
        <v>0.57399999999999995</v>
      </c>
      <c r="G342" s="3">
        <v>0.34698499999999999</v>
      </c>
      <c r="H342" s="1" t="s">
        <v>10</v>
      </c>
    </row>
    <row r="343" spans="1:8" x14ac:dyDescent="0.3">
      <c r="A343" s="1">
        <v>2019</v>
      </c>
      <c r="B343" s="1">
        <v>1</v>
      </c>
      <c r="C343" s="1">
        <v>15</v>
      </c>
      <c r="D343" s="6">
        <v>2019.038356</v>
      </c>
      <c r="E343" s="3">
        <v>331.11099999999999</v>
      </c>
      <c r="F343" s="3">
        <v>0.40989999999999999</v>
      </c>
      <c r="G343" s="3">
        <v>0.41098000000000001</v>
      </c>
      <c r="H343" s="1" t="s">
        <v>10</v>
      </c>
    </row>
    <row r="344" spans="1:8" x14ac:dyDescent="0.3">
      <c r="A344" s="1">
        <v>2019</v>
      </c>
      <c r="B344" s="1">
        <v>2</v>
      </c>
      <c r="C344" s="1">
        <v>15</v>
      </c>
      <c r="D344" s="6">
        <v>2019.123288</v>
      </c>
      <c r="E344" s="3">
        <v>330.65800000000002</v>
      </c>
      <c r="F344" s="3">
        <v>0.2828</v>
      </c>
      <c r="G344" s="3">
        <v>0.38400299999999998</v>
      </c>
      <c r="H344" s="1" t="s">
        <v>10</v>
      </c>
    </row>
    <row r="345" spans="1:8" x14ac:dyDescent="0.3">
      <c r="A345" s="1">
        <v>2019</v>
      </c>
      <c r="B345" s="1">
        <v>3</v>
      </c>
      <c r="C345" s="1">
        <v>15</v>
      </c>
      <c r="D345" s="6">
        <v>2019.2</v>
      </c>
      <c r="E345" s="3">
        <v>330.47899999999998</v>
      </c>
      <c r="F345" s="3">
        <v>0.25829999999999997</v>
      </c>
      <c r="G345" s="3">
        <v>0.34200999999999998</v>
      </c>
      <c r="H345" s="1" t="s">
        <v>10</v>
      </c>
    </row>
    <row r="346" spans="1:8" x14ac:dyDescent="0.3">
      <c r="A346" s="1">
        <v>2019</v>
      </c>
      <c r="B346" s="1">
        <v>4</v>
      </c>
      <c r="C346" s="1">
        <v>15</v>
      </c>
      <c r="D346" s="6">
        <v>2019.284932</v>
      </c>
      <c r="E346" s="3">
        <v>330.58499999999998</v>
      </c>
      <c r="F346" s="3">
        <v>0.16470000000000001</v>
      </c>
      <c r="G346" s="3">
        <v>0.662018</v>
      </c>
      <c r="H346" s="1" t="s">
        <v>10</v>
      </c>
    </row>
    <row r="347" spans="1:8" x14ac:dyDescent="0.3">
      <c r="A347" s="1">
        <v>2019</v>
      </c>
      <c r="B347" s="1">
        <v>5</v>
      </c>
      <c r="C347" s="1">
        <v>15</v>
      </c>
      <c r="D347" s="6">
        <v>2019.367123</v>
      </c>
      <c r="E347" s="3">
        <v>330.62400000000002</v>
      </c>
      <c r="F347" s="3">
        <v>7.0599999999999996E-2</v>
      </c>
      <c r="G347" s="3">
        <v>0.78500400000000004</v>
      </c>
      <c r="H347" s="1" t="s">
        <v>10</v>
      </c>
    </row>
    <row r="348" spans="1:8" x14ac:dyDescent="0.3">
      <c r="A348" s="1">
        <v>2019</v>
      </c>
      <c r="B348" s="1">
        <v>6</v>
      </c>
      <c r="C348" s="1">
        <v>15</v>
      </c>
      <c r="D348" s="6">
        <v>2019.452055</v>
      </c>
      <c r="E348" s="3">
        <v>330.59300000000002</v>
      </c>
      <c r="F348" s="3">
        <v>0.16320000000000001</v>
      </c>
      <c r="G348" s="3">
        <v>0.200989</v>
      </c>
      <c r="H348" s="1" t="s">
        <v>10</v>
      </c>
    </row>
    <row r="349" spans="1:8" x14ac:dyDescent="0.3">
      <c r="A349" s="1">
        <v>2019</v>
      </c>
      <c r="B349" s="1">
        <v>7</v>
      </c>
      <c r="C349" s="1">
        <v>15</v>
      </c>
      <c r="D349" s="6">
        <v>2019.5342470000001</v>
      </c>
      <c r="E349" s="3">
        <v>330.69299999999998</v>
      </c>
      <c r="F349" s="3">
        <v>0.1153</v>
      </c>
      <c r="G349" s="3">
        <v>0.201019</v>
      </c>
      <c r="H349" s="1" t="s">
        <v>10</v>
      </c>
    </row>
    <row r="350" spans="1:8" x14ac:dyDescent="0.3">
      <c r="A350" s="1">
        <v>2019</v>
      </c>
      <c r="B350" s="1">
        <v>8</v>
      </c>
      <c r="C350" s="1">
        <v>15</v>
      </c>
      <c r="D350" s="6">
        <v>2019.6191779999999</v>
      </c>
      <c r="E350" s="3">
        <v>330.84100000000001</v>
      </c>
      <c r="F350" s="3">
        <v>5.33E-2</v>
      </c>
      <c r="G350" s="3">
        <v>0.71301300000000001</v>
      </c>
      <c r="H350" s="1" t="s">
        <v>10</v>
      </c>
    </row>
    <row r="351" spans="1:8" x14ac:dyDescent="0.3">
      <c r="A351" s="1">
        <v>2019</v>
      </c>
      <c r="B351" s="1">
        <v>9</v>
      </c>
      <c r="C351" s="1">
        <v>15</v>
      </c>
      <c r="D351" s="6">
        <v>2019.7041099999999</v>
      </c>
      <c r="E351" s="3">
        <v>331.113</v>
      </c>
      <c r="F351" s="3">
        <v>0.22270000000000001</v>
      </c>
      <c r="G351" s="3">
        <v>0.69500700000000004</v>
      </c>
      <c r="H351" s="1" t="s">
        <v>10</v>
      </c>
    </row>
    <row r="352" spans="1:8" x14ac:dyDescent="0.3">
      <c r="A352" s="1">
        <v>2019</v>
      </c>
      <c r="B352" s="1">
        <v>10</v>
      </c>
      <c r="C352" s="1">
        <v>15</v>
      </c>
      <c r="D352" s="6">
        <v>2019.7863010000001</v>
      </c>
      <c r="E352" s="3">
        <v>331.476</v>
      </c>
      <c r="F352" s="3">
        <v>0.19800000000000001</v>
      </c>
      <c r="G352" s="3">
        <v>0.60000600000000004</v>
      </c>
      <c r="H352" s="1" t="s">
        <v>10</v>
      </c>
    </row>
    <row r="353" spans="1:8" x14ac:dyDescent="0.3">
      <c r="A353" s="1">
        <v>2019</v>
      </c>
      <c r="B353" s="1">
        <v>11</v>
      </c>
      <c r="C353" s="1">
        <v>15</v>
      </c>
      <c r="D353" s="6">
        <v>2019.8712330000001</v>
      </c>
      <c r="E353" s="3">
        <v>331.55599999999998</v>
      </c>
      <c r="F353" s="3">
        <v>0.1852</v>
      </c>
      <c r="G353" s="3">
        <v>0.79299900000000001</v>
      </c>
      <c r="H353" s="1" t="s">
        <v>10</v>
      </c>
    </row>
    <row r="354" spans="1:8" x14ac:dyDescent="0.3">
      <c r="A354" s="1">
        <v>2019</v>
      </c>
      <c r="B354" s="1">
        <v>12</v>
      </c>
      <c r="C354" s="1">
        <v>15</v>
      </c>
      <c r="D354" s="6">
        <v>2019.9534249999999</v>
      </c>
      <c r="E354" s="3">
        <v>331.322</v>
      </c>
      <c r="F354" s="3">
        <v>0.30449999999999999</v>
      </c>
      <c r="G354" s="3">
        <v>1.0649999999999999</v>
      </c>
      <c r="H354" s="1" t="s">
        <v>10</v>
      </c>
    </row>
    <row r="355" spans="1:8" x14ac:dyDescent="0.3">
      <c r="A355" s="1">
        <v>2020</v>
      </c>
      <c r="B355" s="1">
        <v>1</v>
      </c>
      <c r="C355" s="1">
        <v>15</v>
      </c>
      <c r="D355" s="6">
        <v>2020.0382509999999</v>
      </c>
      <c r="E355" s="3">
        <v>331.31200000000001</v>
      </c>
      <c r="F355" s="3">
        <v>0.27889999999999998</v>
      </c>
      <c r="G355" s="3">
        <v>1.1830099999999999</v>
      </c>
      <c r="H355" s="1" t="s">
        <v>10</v>
      </c>
    </row>
    <row r="356" spans="1:8" x14ac:dyDescent="0.3">
      <c r="A356" s="1">
        <v>2020</v>
      </c>
      <c r="B356" s="1">
        <v>2</v>
      </c>
      <c r="C356" s="1">
        <v>15</v>
      </c>
      <c r="D356" s="6">
        <v>2020.1229510000001</v>
      </c>
      <c r="E356" s="3">
        <v>331.37099999999998</v>
      </c>
      <c r="F356" s="3">
        <v>0.26400000000000001</v>
      </c>
      <c r="G356" s="3">
        <v>1.2210099999999999</v>
      </c>
      <c r="H356" s="1" t="s">
        <v>10</v>
      </c>
    </row>
    <row r="357" spans="1:8" x14ac:dyDescent="0.3">
      <c r="A357" s="1">
        <v>2020</v>
      </c>
      <c r="B357" s="1">
        <v>3</v>
      </c>
      <c r="C357" s="1">
        <v>15</v>
      </c>
      <c r="D357" s="6">
        <v>2020.202186</v>
      </c>
      <c r="E357" s="3">
        <v>331.17399999999998</v>
      </c>
      <c r="F357" s="3">
        <v>0.37969999999999998</v>
      </c>
      <c r="G357" s="3">
        <v>1.17499</v>
      </c>
      <c r="H357" s="1" t="s">
        <v>10</v>
      </c>
    </row>
    <row r="358" spans="1:8" x14ac:dyDescent="0.3">
      <c r="A358" s="1">
        <v>2020</v>
      </c>
      <c r="B358" s="1">
        <v>4</v>
      </c>
      <c r="C358" s="1">
        <v>15</v>
      </c>
      <c r="D358" s="6">
        <v>2020.286885</v>
      </c>
      <c r="E358" s="3">
        <v>331.185</v>
      </c>
      <c r="F358" s="3">
        <v>0.2301</v>
      </c>
      <c r="G358" s="3">
        <v>1.06097</v>
      </c>
      <c r="H358" s="1" t="s">
        <v>10</v>
      </c>
    </row>
    <row r="359" spans="1:8" x14ac:dyDescent="0.3">
      <c r="A359" s="1">
        <v>2020</v>
      </c>
      <c r="B359" s="1">
        <v>5</v>
      </c>
      <c r="C359" s="1">
        <v>15</v>
      </c>
      <c r="D359" s="6">
        <v>2020.3688520000001</v>
      </c>
      <c r="E359" s="3">
        <v>331.41699999999997</v>
      </c>
      <c r="F359" s="3">
        <v>0.23530000000000001</v>
      </c>
      <c r="G359" s="3">
        <v>1.1369899999999999</v>
      </c>
      <c r="H359" s="1" t="s">
        <v>10</v>
      </c>
    </row>
    <row r="360" spans="1:8" x14ac:dyDescent="0.3">
      <c r="A360" s="1">
        <v>2020</v>
      </c>
      <c r="B360" s="1">
        <v>6</v>
      </c>
      <c r="C360" s="1">
        <v>15</v>
      </c>
      <c r="D360" s="6">
        <v>2020.4535519999999</v>
      </c>
      <c r="E360" s="3">
        <v>331.65800000000002</v>
      </c>
      <c r="F360" s="3">
        <v>0.27729999999999999</v>
      </c>
      <c r="G360" s="3">
        <v>1.40802</v>
      </c>
      <c r="H360" s="1" t="s">
        <v>10</v>
      </c>
    </row>
    <row r="361" spans="1:8" x14ac:dyDescent="0.3">
      <c r="A361" s="1">
        <v>2020</v>
      </c>
      <c r="B361" s="1">
        <v>7</v>
      </c>
      <c r="C361" s="1">
        <v>15</v>
      </c>
      <c r="D361" s="6">
        <v>2020.535519</v>
      </c>
      <c r="E361" s="3">
        <v>331.87599999999998</v>
      </c>
      <c r="F361" s="3">
        <v>0.27829999999999999</v>
      </c>
      <c r="G361" s="3">
        <v>1.4819899999999999</v>
      </c>
      <c r="H361" s="1" t="s">
        <v>10</v>
      </c>
    </row>
    <row r="362" spans="1:8" x14ac:dyDescent="0.3">
      <c r="A362" s="1">
        <v>2020</v>
      </c>
      <c r="B362" s="1">
        <v>8</v>
      </c>
      <c r="C362" s="1">
        <v>15</v>
      </c>
      <c r="D362" s="6">
        <v>2020.6202189999999</v>
      </c>
      <c r="E362" s="3">
        <v>332.06200000000001</v>
      </c>
      <c r="F362" s="3">
        <v>0.42230000000000001</v>
      </c>
      <c r="G362" s="3">
        <v>1.51498</v>
      </c>
      <c r="H362" s="1" t="s">
        <v>10</v>
      </c>
    </row>
    <row r="363" spans="1:8" x14ac:dyDescent="0.3">
      <c r="A363" s="1">
        <v>2020</v>
      </c>
      <c r="B363" s="1">
        <v>9</v>
      </c>
      <c r="C363" s="1">
        <v>15</v>
      </c>
      <c r="D363" s="6">
        <v>2020.7049179999999</v>
      </c>
      <c r="E363" s="3">
        <v>332.28800000000001</v>
      </c>
      <c r="F363" s="3">
        <v>0.20730000000000001</v>
      </c>
      <c r="G363" s="3">
        <v>1.6369899999999999</v>
      </c>
      <c r="H363" s="1" t="s">
        <v>10</v>
      </c>
    </row>
    <row r="364" spans="1:8" x14ac:dyDescent="0.3">
      <c r="A364" s="1">
        <v>2020</v>
      </c>
      <c r="B364" s="1">
        <v>10</v>
      </c>
      <c r="C364" s="1">
        <v>15</v>
      </c>
      <c r="D364" s="6">
        <v>2020.786885</v>
      </c>
      <c r="E364" s="3">
        <v>332.53699999999998</v>
      </c>
      <c r="F364" s="3">
        <v>0.18909999999999999</v>
      </c>
      <c r="G364" s="3">
        <v>1.849</v>
      </c>
      <c r="H364" s="1" t="s">
        <v>10</v>
      </c>
    </row>
    <row r="365" spans="1:8" x14ac:dyDescent="0.3">
      <c r="A365" s="1">
        <v>2020</v>
      </c>
      <c r="B365" s="1">
        <v>11</v>
      </c>
      <c r="C365" s="1">
        <v>15</v>
      </c>
      <c r="D365" s="6">
        <v>2020.8715850000001</v>
      </c>
      <c r="E365" s="3">
        <v>332.69299999999998</v>
      </c>
      <c r="F365" s="3">
        <v>0.20660000000000001</v>
      </c>
      <c r="G365" s="3">
        <v>1.80002</v>
      </c>
      <c r="H365" s="1" t="s">
        <v>10</v>
      </c>
    </row>
    <row r="366" spans="1:8" x14ac:dyDescent="0.3">
      <c r="A366" s="1">
        <v>2020</v>
      </c>
      <c r="B366" s="1">
        <v>12</v>
      </c>
      <c r="C366" s="1">
        <v>15</v>
      </c>
      <c r="D366" s="6">
        <v>2020.9535519999999</v>
      </c>
      <c r="E366" s="3">
        <v>332.73</v>
      </c>
      <c r="F366" s="3">
        <v>0.35049999999999998</v>
      </c>
      <c r="G366" s="3">
        <v>1.4179999999999999</v>
      </c>
      <c r="H366" s="1" t="s">
        <v>10</v>
      </c>
    </row>
    <row r="367" spans="1:8" x14ac:dyDescent="0.3">
      <c r="A367" s="1">
        <v>2021</v>
      </c>
      <c r="B367" s="1">
        <v>1</v>
      </c>
      <c r="C367" s="1">
        <v>15</v>
      </c>
      <c r="D367" s="6">
        <v>2021.038356</v>
      </c>
      <c r="E367" s="3">
        <v>332.79399999999998</v>
      </c>
      <c r="F367" s="3">
        <v>4.1599999999999998E-2</v>
      </c>
      <c r="G367" s="3">
        <v>1.405</v>
      </c>
      <c r="H367" s="1" t="s">
        <v>10</v>
      </c>
    </row>
    <row r="368" spans="1:8" x14ac:dyDescent="0.3">
      <c r="A368" s="1">
        <v>2021</v>
      </c>
      <c r="B368" s="1">
        <v>2</v>
      </c>
      <c r="C368" s="1">
        <v>15</v>
      </c>
      <c r="D368" s="6">
        <v>2021.123288</v>
      </c>
      <c r="E368" s="3">
        <v>332.88600000000002</v>
      </c>
      <c r="F368" s="3">
        <v>0.21970000000000001</v>
      </c>
      <c r="G368" s="3">
        <v>1.2869900000000001</v>
      </c>
      <c r="H368" s="1" t="s">
        <v>10</v>
      </c>
    </row>
    <row r="369" spans="1:8" x14ac:dyDescent="0.3">
      <c r="A369" s="1">
        <v>2021</v>
      </c>
      <c r="B369" s="1">
        <v>3</v>
      </c>
      <c r="C369" s="1">
        <v>15</v>
      </c>
      <c r="D369" s="6">
        <v>2021.2</v>
      </c>
      <c r="E369" s="3">
        <v>332.81099999999998</v>
      </c>
      <c r="F369" s="3">
        <v>0.24510000000000001</v>
      </c>
      <c r="G369" s="3">
        <v>1.2180200000000001</v>
      </c>
      <c r="H369" s="1" t="s">
        <v>10</v>
      </c>
    </row>
    <row r="370" spans="1:8" x14ac:dyDescent="0.3">
      <c r="A370" s="1">
        <v>2021</v>
      </c>
      <c r="B370" s="1">
        <v>4</v>
      </c>
      <c r="C370" s="1">
        <v>15</v>
      </c>
      <c r="D370" s="6">
        <v>2021.284932</v>
      </c>
      <c r="E370" s="3">
        <v>333.03399999999999</v>
      </c>
      <c r="F370" s="3">
        <v>0.435</v>
      </c>
      <c r="G370" s="3">
        <v>1.4840100000000001</v>
      </c>
      <c r="H370" s="1" t="s">
        <v>10</v>
      </c>
    </row>
    <row r="371" spans="1:8" x14ac:dyDescent="0.3">
      <c r="A371" s="1">
        <v>2021</v>
      </c>
      <c r="B371" s="1">
        <v>5</v>
      </c>
      <c r="C371" s="1">
        <v>15</v>
      </c>
      <c r="D371" s="6">
        <v>2021.367123</v>
      </c>
      <c r="E371" s="3">
        <v>333.21699999999998</v>
      </c>
      <c r="F371" s="3">
        <v>0.36470000000000002</v>
      </c>
      <c r="G371" s="3">
        <v>1.56</v>
      </c>
      <c r="H371" s="1" t="s">
        <v>10</v>
      </c>
    </row>
    <row r="372" spans="1:8" x14ac:dyDescent="0.3">
      <c r="A372" s="1">
        <v>2021</v>
      </c>
      <c r="B372" s="1">
        <v>6</v>
      </c>
      <c r="C372" s="1">
        <v>15</v>
      </c>
      <c r="D372" s="6">
        <v>2021.452055</v>
      </c>
      <c r="E372" s="3">
        <v>333.07600000000002</v>
      </c>
      <c r="F372" s="3">
        <v>7.1300000000000002E-2</v>
      </c>
      <c r="G372" s="3">
        <v>1.7319899999999999</v>
      </c>
      <c r="H372" s="1" t="s">
        <v>10</v>
      </c>
    </row>
    <row r="373" spans="1:8" x14ac:dyDescent="0.3">
      <c r="A373" s="1">
        <v>2021</v>
      </c>
      <c r="B373" s="1">
        <v>7</v>
      </c>
      <c r="C373" s="1">
        <v>15</v>
      </c>
      <c r="D373" s="6">
        <v>2021.5342470000001</v>
      </c>
      <c r="E373" s="3">
        <v>333.28100000000001</v>
      </c>
      <c r="F373" s="3">
        <v>0.15909999999999999</v>
      </c>
      <c r="G373" s="3">
        <v>1.9039900000000001</v>
      </c>
      <c r="H373" s="1" t="s">
        <v>10</v>
      </c>
    </row>
    <row r="374" spans="1:8" x14ac:dyDescent="0.3">
      <c r="A374" s="1">
        <v>2021</v>
      </c>
      <c r="B374" s="1">
        <v>8</v>
      </c>
      <c r="C374" s="1">
        <v>15</v>
      </c>
      <c r="D374" s="6">
        <v>2021.6191779999999</v>
      </c>
      <c r="E374" s="3">
        <v>333.34899999999999</v>
      </c>
      <c r="F374" s="3">
        <v>0.1341</v>
      </c>
      <c r="G374" s="3">
        <v>1.7629999999999999</v>
      </c>
      <c r="H374" s="1" t="s">
        <v>10</v>
      </c>
    </row>
    <row r="375" spans="1:8" x14ac:dyDescent="0.3">
      <c r="A375" s="1">
        <v>2021</v>
      </c>
      <c r="B375" s="1">
        <v>9</v>
      </c>
      <c r="C375" s="1">
        <v>15</v>
      </c>
      <c r="D375" s="6">
        <v>2021.7041099999999</v>
      </c>
      <c r="E375" s="3">
        <v>333.50599999999997</v>
      </c>
      <c r="F375" s="3">
        <v>0.30730000000000002</v>
      </c>
      <c r="G375" s="3">
        <v>1.7889999999999999</v>
      </c>
      <c r="H375" s="1" t="s">
        <v>10</v>
      </c>
    </row>
    <row r="376" spans="1:8" x14ac:dyDescent="0.3">
      <c r="A376" s="1">
        <v>2021</v>
      </c>
      <c r="B376" s="1">
        <v>10</v>
      </c>
      <c r="C376" s="1">
        <v>15</v>
      </c>
      <c r="D376" s="6">
        <v>2021.7863010000001</v>
      </c>
      <c r="E376" s="3">
        <v>334.02100000000002</v>
      </c>
      <c r="F376" s="3">
        <v>0.1303</v>
      </c>
      <c r="G376" s="3">
        <v>1.5289900000000001</v>
      </c>
      <c r="H376" s="1" t="s">
        <v>10</v>
      </c>
    </row>
    <row r="377" spans="1:8" x14ac:dyDescent="0.3">
      <c r="A377" s="1">
        <v>2021</v>
      </c>
      <c r="B377" s="1">
        <v>11</v>
      </c>
      <c r="C377" s="1">
        <v>15</v>
      </c>
      <c r="D377" s="6">
        <v>2021.8712330000001</v>
      </c>
      <c r="E377" s="3">
        <v>334.25299999999999</v>
      </c>
      <c r="F377" s="3">
        <v>0.13200000000000001</v>
      </c>
      <c r="G377" s="3">
        <v>1.23499</v>
      </c>
      <c r="H377" s="1" t="s">
        <v>10</v>
      </c>
    </row>
    <row r="378" spans="1:8" x14ac:dyDescent="0.3">
      <c r="A378" s="1">
        <v>2021</v>
      </c>
      <c r="B378" s="1">
        <v>12</v>
      </c>
      <c r="C378" s="1">
        <v>15</v>
      </c>
      <c r="D378" s="6">
        <v>2021.9534249999999</v>
      </c>
      <c r="E378" s="3">
        <v>334.46199999999999</v>
      </c>
      <c r="F378" s="3">
        <v>0.1149</v>
      </c>
      <c r="G378" s="3">
        <v>1.4139999999999999</v>
      </c>
      <c r="H378" s="1" t="s">
        <v>10</v>
      </c>
    </row>
    <row r="379" spans="1:8" x14ac:dyDescent="0.3">
      <c r="A379" s="1">
        <v>2022</v>
      </c>
      <c r="B379" s="1">
        <v>1</v>
      </c>
      <c r="C379" s="1">
        <v>15</v>
      </c>
      <c r="D379" s="6">
        <v>2022.038356</v>
      </c>
      <c r="E379" s="3">
        <v>334.69799999999998</v>
      </c>
      <c r="F379" s="3">
        <v>0.1016</v>
      </c>
      <c r="G379" s="3">
        <v>1.466</v>
      </c>
      <c r="H379" s="1" t="s">
        <v>10</v>
      </c>
    </row>
    <row r="380" spans="1:8" x14ac:dyDescent="0.3">
      <c r="A380" s="1">
        <v>2022</v>
      </c>
      <c r="B380" s="1">
        <v>2</v>
      </c>
      <c r="C380" s="1">
        <v>15</v>
      </c>
      <c r="D380" s="6">
        <v>2022.123288</v>
      </c>
      <c r="E380" s="3">
        <v>334.649</v>
      </c>
      <c r="F380" s="3">
        <v>9.0899999999999995E-2</v>
      </c>
      <c r="G380" s="3">
        <v>1.6870099999999999</v>
      </c>
      <c r="H380" s="1" t="s">
        <v>10</v>
      </c>
    </row>
    <row r="381" spans="1:8" x14ac:dyDescent="0.3">
      <c r="A381" s="1">
        <v>2022</v>
      </c>
      <c r="B381" s="1">
        <v>3</v>
      </c>
      <c r="C381" s="1">
        <v>15</v>
      </c>
      <c r="D381" s="6">
        <v>2022.2</v>
      </c>
      <c r="E381" s="3">
        <v>334.6</v>
      </c>
      <c r="F381" s="3">
        <v>1.8499999999999999E-2</v>
      </c>
      <c r="G381" s="3">
        <v>1.7039800000000001</v>
      </c>
      <c r="H381" s="1" t="s">
        <v>10</v>
      </c>
    </row>
    <row r="382" spans="1:8" x14ac:dyDescent="0.3">
      <c r="A382" s="1">
        <v>2022</v>
      </c>
      <c r="B382" s="1">
        <v>4</v>
      </c>
      <c r="C382" s="1">
        <v>15</v>
      </c>
      <c r="D382" s="6">
        <v>2022.284932</v>
      </c>
      <c r="E382" s="3">
        <v>334.56299999999999</v>
      </c>
      <c r="F382" s="3">
        <v>0.17929999999999999</v>
      </c>
      <c r="G382" s="3">
        <v>1.2250099999999999</v>
      </c>
      <c r="H382" s="1" t="s">
        <v>10</v>
      </c>
    </row>
    <row r="383" spans="1:8" x14ac:dyDescent="0.3">
      <c r="A383" s="1">
        <v>2022</v>
      </c>
      <c r="B383" s="1">
        <v>5</v>
      </c>
      <c r="C383" s="1">
        <v>15</v>
      </c>
      <c r="D383" s="6">
        <v>2022.367123</v>
      </c>
      <c r="E383" s="3">
        <v>334.452</v>
      </c>
      <c r="F383" s="3">
        <v>0.1042</v>
      </c>
      <c r="G383" s="3">
        <v>1.12201</v>
      </c>
      <c r="H383" s="1" t="s">
        <v>10</v>
      </c>
    </row>
    <row r="384" spans="1:8" x14ac:dyDescent="0.3">
      <c r="A384" s="1">
        <v>2022</v>
      </c>
      <c r="B384" s="1">
        <v>6</v>
      </c>
      <c r="C384" s="1">
        <v>15</v>
      </c>
      <c r="D384" s="6">
        <v>2022.452055</v>
      </c>
      <c r="E384" s="3">
        <v>334.49</v>
      </c>
      <c r="F384" s="3">
        <v>8.6199999999999999E-2</v>
      </c>
      <c r="G384" s="3">
        <v>1.173</v>
      </c>
      <c r="H384" s="1" t="s">
        <v>10</v>
      </c>
    </row>
    <row r="385" spans="1:8" x14ac:dyDescent="0.3">
      <c r="A385" s="1">
        <v>2022</v>
      </c>
      <c r="B385" s="1">
        <v>7</v>
      </c>
      <c r="C385" s="1">
        <v>15</v>
      </c>
      <c r="D385" s="6">
        <v>2022.5342470000001</v>
      </c>
      <c r="E385" s="3">
        <v>334.74700000000001</v>
      </c>
      <c r="F385" s="3">
        <v>0.123</v>
      </c>
      <c r="G385" s="3">
        <v>1.1409899999999999</v>
      </c>
      <c r="H385" s="1" t="s">
        <v>10</v>
      </c>
    </row>
    <row r="386" spans="1:8" x14ac:dyDescent="0.3">
      <c r="A386" s="1">
        <v>2022</v>
      </c>
      <c r="B386" s="1">
        <v>8</v>
      </c>
      <c r="C386" s="1">
        <v>15</v>
      </c>
      <c r="D386" s="6">
        <v>2022.6191779999999</v>
      </c>
      <c r="E386" s="3">
        <v>335.036</v>
      </c>
      <c r="F386" s="3">
        <v>7.3700000000000002E-2</v>
      </c>
      <c r="G386" s="3">
        <v>1.26501</v>
      </c>
      <c r="H386" s="1" t="s">
        <v>10</v>
      </c>
    </row>
    <row r="387" spans="1:8" x14ac:dyDescent="0.3">
      <c r="A387" s="1">
        <v>2022</v>
      </c>
      <c r="B387" s="1">
        <v>9</v>
      </c>
      <c r="C387" s="1">
        <v>15</v>
      </c>
      <c r="D387" s="6">
        <v>2022.7041099999999</v>
      </c>
      <c r="E387" s="3">
        <v>335.21</v>
      </c>
      <c r="F387" s="3">
        <v>0.20069999999999999</v>
      </c>
      <c r="G387" s="3">
        <v>1.20099</v>
      </c>
      <c r="H387" s="1" t="s">
        <v>10</v>
      </c>
    </row>
    <row r="388" spans="1:8" x14ac:dyDescent="0.3">
      <c r="A388" s="1">
        <v>2022</v>
      </c>
      <c r="B388" s="1">
        <v>10</v>
      </c>
      <c r="C388" s="1">
        <v>15</v>
      </c>
      <c r="D388" s="6">
        <v>2022.7863010000001</v>
      </c>
      <c r="E388" s="3">
        <v>335.24599999999998</v>
      </c>
      <c r="F388" s="3">
        <v>4.9200000000000001E-2</v>
      </c>
      <c r="G388" s="3">
        <v>1.15402</v>
      </c>
      <c r="H388" s="1" t="s">
        <v>10</v>
      </c>
    </row>
    <row r="389" spans="1:8" x14ac:dyDescent="0.3">
      <c r="A389" s="1">
        <v>2022</v>
      </c>
      <c r="B389" s="1">
        <v>11</v>
      </c>
      <c r="C389" s="1">
        <v>15</v>
      </c>
      <c r="D389" s="6">
        <v>2022.8712330000001</v>
      </c>
      <c r="E389" s="3">
        <v>335.375</v>
      </c>
      <c r="F389" s="3">
        <v>0.11509999999999999</v>
      </c>
      <c r="G389" s="3">
        <v>1.30002</v>
      </c>
      <c r="H389" s="1" t="s">
        <v>10</v>
      </c>
    </row>
    <row r="390" spans="1:8" x14ac:dyDescent="0.3">
      <c r="A390" s="1">
        <v>2022</v>
      </c>
      <c r="B390" s="1">
        <v>12</v>
      </c>
      <c r="C390" s="1">
        <v>15</v>
      </c>
      <c r="D390" s="6">
        <v>2022.9534249999999</v>
      </c>
      <c r="E390" s="3">
        <v>335.63499999999999</v>
      </c>
      <c r="F390" s="3">
        <v>0.17799999999999999</v>
      </c>
      <c r="G390" s="3">
        <v>1.1650100000000001</v>
      </c>
      <c r="H390" s="1" t="s">
        <v>10</v>
      </c>
    </row>
    <row r="391" spans="1:8" x14ac:dyDescent="0.3">
      <c r="A391" s="1">
        <v>2023</v>
      </c>
      <c r="B391" s="1">
        <v>1</v>
      </c>
      <c r="C391" s="1">
        <v>15</v>
      </c>
      <c r="D391" s="6">
        <v>2023.038356</v>
      </c>
      <c r="E391" s="3">
        <v>335.839</v>
      </c>
      <c r="F391" s="3">
        <v>4.8800000000000003E-2</v>
      </c>
      <c r="G391" s="3">
        <v>1</v>
      </c>
      <c r="H391" s="1" t="s">
        <v>10</v>
      </c>
    </row>
    <row r="392" spans="1:8" x14ac:dyDescent="0.3">
      <c r="A392" s="1">
        <v>2023</v>
      </c>
      <c r="B392" s="1">
        <v>2</v>
      </c>
      <c r="C392" s="1">
        <v>15</v>
      </c>
      <c r="D392" s="6">
        <v>2023.123288</v>
      </c>
      <c r="E392" s="3">
        <v>335.91399999999999</v>
      </c>
      <c r="F392" s="3">
        <v>3.39E-2</v>
      </c>
      <c r="G392" s="3">
        <v>1.103</v>
      </c>
      <c r="H392" s="1" t="s">
        <v>10</v>
      </c>
    </row>
    <row r="393" spans="1:8" x14ac:dyDescent="0.3">
      <c r="A393" s="1">
        <v>2023</v>
      </c>
      <c r="B393" s="1">
        <v>3</v>
      </c>
      <c r="C393" s="1">
        <v>15</v>
      </c>
      <c r="D393" s="6">
        <v>2023.2</v>
      </c>
      <c r="E393" s="3">
        <v>335.80099999999999</v>
      </c>
      <c r="F393" s="3">
        <v>0.1255</v>
      </c>
      <c r="G393" s="3">
        <v>1.1000099999999999</v>
      </c>
      <c r="H393" s="1" t="s">
        <v>10</v>
      </c>
    </row>
    <row r="394" spans="1:8" x14ac:dyDescent="0.3">
      <c r="A394" s="1">
        <v>2023</v>
      </c>
      <c r="B394" s="1">
        <v>4</v>
      </c>
      <c r="C394" s="1">
        <v>15</v>
      </c>
      <c r="D394" s="6">
        <v>2023.284932</v>
      </c>
      <c r="E394" s="3">
        <v>335.71699999999998</v>
      </c>
      <c r="F394" s="3">
        <v>0.1138</v>
      </c>
      <c r="G394" s="3">
        <v>1.181</v>
      </c>
      <c r="H394" s="1" t="s">
        <v>10</v>
      </c>
    </row>
    <row r="395" spans="1:8" x14ac:dyDescent="0.3">
      <c r="A395" s="1">
        <v>2023</v>
      </c>
      <c r="B395" s="1">
        <v>5</v>
      </c>
      <c r="C395" s="1">
        <v>15</v>
      </c>
      <c r="D395" s="6">
        <v>2023.367123</v>
      </c>
      <c r="E395" s="3">
        <v>335.75200000000001</v>
      </c>
      <c r="F395" s="3">
        <v>0.16039999999999999</v>
      </c>
      <c r="G395" s="3">
        <v>1.2709999999999999</v>
      </c>
      <c r="H395" s="1" t="s">
        <v>10</v>
      </c>
    </row>
    <row r="396" spans="1:8" x14ac:dyDescent="0.3">
      <c r="A396" s="1">
        <v>2023</v>
      </c>
      <c r="B396" s="1">
        <v>6</v>
      </c>
      <c r="C396" s="1">
        <v>15</v>
      </c>
      <c r="D396" s="6">
        <v>2023.452055</v>
      </c>
      <c r="E396" s="3">
        <v>335.65499999999997</v>
      </c>
      <c r="F396" s="3">
        <v>0.13750000000000001</v>
      </c>
      <c r="G396" s="3">
        <v>1.091</v>
      </c>
      <c r="H396" s="1" t="s">
        <v>10</v>
      </c>
    </row>
    <row r="397" spans="1:8" x14ac:dyDescent="0.3">
      <c r="A397" s="1">
        <v>2023</v>
      </c>
      <c r="B397" s="1">
        <v>7</v>
      </c>
      <c r="C397" s="1">
        <v>15</v>
      </c>
      <c r="D397" s="6">
        <v>2023.5342470000001</v>
      </c>
      <c r="E397" s="3">
        <v>335.74700000000001</v>
      </c>
      <c r="F397" s="3">
        <v>0.11849999999999999</v>
      </c>
      <c r="G397" s="3">
        <v>0.95101899999999995</v>
      </c>
      <c r="H397" s="1" t="s">
        <v>10</v>
      </c>
    </row>
    <row r="398" spans="1:8" x14ac:dyDescent="0.3">
      <c r="A398" s="1">
        <v>2023</v>
      </c>
      <c r="B398" s="1">
        <v>8</v>
      </c>
      <c r="C398" s="1">
        <v>15</v>
      </c>
      <c r="D398" s="6">
        <v>2023.6191779999999</v>
      </c>
      <c r="E398" s="3">
        <v>336.13900000000001</v>
      </c>
      <c r="F398" s="3">
        <v>0.1925</v>
      </c>
      <c r="G398" s="3">
        <v>0.86801099999999998</v>
      </c>
      <c r="H398" s="1" t="s">
        <v>10</v>
      </c>
    </row>
    <row r="399" spans="1:8" x14ac:dyDescent="0.3">
      <c r="A399" s="1">
        <v>2023</v>
      </c>
      <c r="B399" s="1">
        <v>9</v>
      </c>
      <c r="C399" s="1">
        <v>15</v>
      </c>
      <c r="D399" s="6">
        <v>2023.7041099999999</v>
      </c>
      <c r="E399" s="3">
        <v>336.31</v>
      </c>
      <c r="F399" s="3">
        <v>8.2299999999999998E-2</v>
      </c>
      <c r="G399" s="3">
        <v>0.94799800000000001</v>
      </c>
      <c r="H399" s="1" t="s">
        <v>10</v>
      </c>
    </row>
    <row r="400" spans="1:8" x14ac:dyDescent="0.3">
      <c r="A400" s="1">
        <v>2023</v>
      </c>
      <c r="B400" s="1">
        <v>10</v>
      </c>
      <c r="C400" s="1">
        <v>15</v>
      </c>
      <c r="D400" s="6">
        <v>2023.7863010000001</v>
      </c>
      <c r="E400" s="3">
        <v>336.42700000000002</v>
      </c>
      <c r="F400" s="3">
        <v>9.5799999999999996E-2</v>
      </c>
      <c r="G400" s="3">
        <v>1.19598</v>
      </c>
      <c r="H400" s="1" t="s">
        <v>10</v>
      </c>
    </row>
    <row r="401" spans="1:8" x14ac:dyDescent="0.3">
      <c r="A401" s="1">
        <v>2023</v>
      </c>
      <c r="B401" s="1">
        <v>11</v>
      </c>
      <c r="C401" s="1">
        <v>15</v>
      </c>
      <c r="D401" s="6">
        <v>2023.8712330000001</v>
      </c>
      <c r="E401" s="3">
        <v>336.64600000000002</v>
      </c>
      <c r="F401" s="3">
        <v>0.14050000000000001</v>
      </c>
      <c r="G401" s="3">
        <v>1.2110000000000001</v>
      </c>
      <c r="H401" s="1" t="s">
        <v>10</v>
      </c>
    </row>
    <row r="402" spans="1:8" x14ac:dyDescent="0.3">
      <c r="A402" s="1">
        <v>2023</v>
      </c>
      <c r="B402" s="1">
        <v>12</v>
      </c>
      <c r="C402" s="1">
        <v>15</v>
      </c>
      <c r="D402" s="6">
        <v>2023.9534249999999</v>
      </c>
      <c r="E402" s="3">
        <v>336.726</v>
      </c>
      <c r="F402" s="3">
        <v>7.7299999999999994E-2</v>
      </c>
      <c r="G402" s="3">
        <v>1.1870099999999999</v>
      </c>
      <c r="H402" s="1" t="s">
        <v>10</v>
      </c>
    </row>
    <row r="403" spans="1:8" x14ac:dyDescent="0.3">
      <c r="A403" s="1">
        <v>2024</v>
      </c>
      <c r="B403" s="1">
        <v>1</v>
      </c>
      <c r="C403" s="1">
        <v>15</v>
      </c>
      <c r="D403" s="6">
        <v>2024.0382509999999</v>
      </c>
      <c r="E403" s="3">
        <v>336.79</v>
      </c>
      <c r="F403" s="3">
        <v>2.0899999999999998E-2</v>
      </c>
      <c r="G403" s="3" t="s">
        <v>21</v>
      </c>
      <c r="H403" s="1" t="s">
        <v>10</v>
      </c>
    </row>
    <row r="404" spans="1:8" x14ac:dyDescent="0.3">
      <c r="A404" s="1">
        <v>2024</v>
      </c>
      <c r="B404" s="1">
        <v>2</v>
      </c>
      <c r="C404" s="1">
        <v>15</v>
      </c>
      <c r="D404" s="6">
        <v>2024.1229510000001</v>
      </c>
      <c r="E404" s="3">
        <v>336.78199999999998</v>
      </c>
      <c r="F404" s="3">
        <v>2.3400000000000001E-2</v>
      </c>
      <c r="G404" s="3" t="s">
        <v>21</v>
      </c>
      <c r="H404" s="1" t="s">
        <v>10</v>
      </c>
    </row>
    <row r="405" spans="1:8" x14ac:dyDescent="0.3">
      <c r="A405" s="1">
        <v>2024</v>
      </c>
      <c r="B405" s="1">
        <v>3</v>
      </c>
      <c r="C405" s="1">
        <v>15</v>
      </c>
      <c r="D405" s="6">
        <v>2024.202186</v>
      </c>
      <c r="E405" s="3">
        <v>336.74900000000002</v>
      </c>
      <c r="F405" s="3">
        <v>0.184</v>
      </c>
      <c r="G405" s="3" t="s">
        <v>21</v>
      </c>
      <c r="H405" s="1" t="s">
        <v>10</v>
      </c>
    </row>
    <row r="406" spans="1:8" x14ac:dyDescent="0.3">
      <c r="A406" s="1">
        <v>2024</v>
      </c>
      <c r="B406" s="1">
        <v>4</v>
      </c>
      <c r="C406" s="1">
        <v>15</v>
      </c>
      <c r="D406" s="6">
        <v>2024.286885</v>
      </c>
      <c r="E406" s="3">
        <v>336.91300000000001</v>
      </c>
      <c r="F406" s="3">
        <v>0.18129999999999999</v>
      </c>
      <c r="G406" s="3" t="s">
        <v>21</v>
      </c>
      <c r="H406" s="1" t="s">
        <v>10</v>
      </c>
    </row>
    <row r="407" spans="1:8" x14ac:dyDescent="0.3">
      <c r="A407" s="1">
        <v>2024</v>
      </c>
      <c r="B407" s="1">
        <v>5</v>
      </c>
      <c r="C407" s="1">
        <v>15</v>
      </c>
      <c r="D407" s="6">
        <v>2024.3688520000001</v>
      </c>
      <c r="E407" s="3">
        <v>336.96300000000002</v>
      </c>
      <c r="F407" s="3">
        <v>3.1899999999999998E-2</v>
      </c>
      <c r="G407" s="3" t="s">
        <v>21</v>
      </c>
      <c r="H407" s="1" t="s">
        <v>10</v>
      </c>
    </row>
    <row r="408" spans="1:8" x14ac:dyDescent="0.3">
      <c r="A408" s="1">
        <v>2024</v>
      </c>
      <c r="B408" s="1">
        <v>6</v>
      </c>
      <c r="C408" s="1">
        <v>15</v>
      </c>
      <c r="D408" s="6">
        <v>2024.4535519999999</v>
      </c>
      <c r="E408" s="3">
        <v>336.84199999999998</v>
      </c>
      <c r="F408" s="3">
        <v>4.3799999999999999E-2</v>
      </c>
      <c r="G408" s="3" t="s">
        <v>21</v>
      </c>
      <c r="H408" s="1" t="s">
        <v>10</v>
      </c>
    </row>
    <row r="409" spans="1:8" x14ac:dyDescent="0.3">
      <c r="A409" s="1">
        <v>2024</v>
      </c>
      <c r="B409" s="1">
        <v>7</v>
      </c>
      <c r="C409" s="1">
        <v>15</v>
      </c>
      <c r="D409" s="6">
        <v>2024.5342499999999</v>
      </c>
    </row>
    <row r="410" spans="1:8" x14ac:dyDescent="0.3">
      <c r="A410" s="1">
        <v>2024</v>
      </c>
      <c r="B410" s="1">
        <v>8</v>
      </c>
      <c r="C410" s="1">
        <v>15</v>
      </c>
      <c r="D410" s="6">
        <v>2024.6191799999999</v>
      </c>
    </row>
    <row r="411" spans="1:8" x14ac:dyDescent="0.3">
      <c r="A411" s="1">
        <v>2024</v>
      </c>
      <c r="B411" s="1">
        <v>9</v>
      </c>
      <c r="C411" s="1">
        <v>15</v>
      </c>
      <c r="D411" s="6">
        <v>2024.7041099999999</v>
      </c>
    </row>
    <row r="412" spans="1:8" x14ac:dyDescent="0.3">
      <c r="A412" s="1">
        <v>2024</v>
      </c>
      <c r="B412" s="1">
        <v>10</v>
      </c>
      <c r="C412" s="1">
        <v>15</v>
      </c>
      <c r="D412" s="6">
        <v>2024.7863</v>
      </c>
    </row>
    <row r="413" spans="1:8" x14ac:dyDescent="0.3">
      <c r="A413" s="1">
        <v>2024</v>
      </c>
      <c r="B413" s="1">
        <v>11</v>
      </c>
      <c r="C413" s="1">
        <v>15</v>
      </c>
      <c r="D413" s="6">
        <v>2024.87123</v>
      </c>
    </row>
    <row r="414" spans="1:8" x14ac:dyDescent="0.3">
      <c r="A414" s="1">
        <v>2024</v>
      </c>
      <c r="B414" s="1">
        <v>12</v>
      </c>
      <c r="C414" s="1">
        <v>15</v>
      </c>
      <c r="D414" s="6">
        <v>2024.9534200000001</v>
      </c>
    </row>
  </sheetData>
  <hyperlinks>
    <hyperlink ref="F3" r:id="rId1" xr:uid="{9D151F6E-D431-4E26-8FA3-16E40D7E544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AEF8-2435-4139-B6E2-A5857F16E466}">
  <dimension ref="A1:G1026"/>
  <sheetViews>
    <sheetView workbookViewId="0">
      <selection activeCell="G9" sqref="G9"/>
    </sheetView>
  </sheetViews>
  <sheetFormatPr defaultRowHeight="14.4" x14ac:dyDescent="0.3"/>
  <cols>
    <col min="5" max="5" width="9.77734375" bestFit="1" customWidth="1"/>
  </cols>
  <sheetData>
    <row r="1" spans="1:7" x14ac:dyDescent="0.3">
      <c r="A1" t="s">
        <v>25</v>
      </c>
      <c r="B1" t="s">
        <v>26</v>
      </c>
      <c r="C1" t="s">
        <v>27</v>
      </c>
      <c r="D1" t="s">
        <v>24</v>
      </c>
      <c r="E1" t="s">
        <v>41</v>
      </c>
      <c r="F1" t="s">
        <v>29</v>
      </c>
      <c r="G1" t="s">
        <v>23</v>
      </c>
    </row>
    <row r="2" spans="1:7" x14ac:dyDescent="0.3">
      <c r="A2" t="s">
        <v>28</v>
      </c>
      <c r="F2" t="s">
        <v>30</v>
      </c>
      <c r="G2" t="s">
        <v>31</v>
      </c>
    </row>
    <row r="3" spans="1:7" x14ac:dyDescent="0.3">
      <c r="A3">
        <v>1000.5</v>
      </c>
      <c r="B3">
        <v>6.5909628999999997E-2</v>
      </c>
      <c r="C3">
        <v>-3.1502375999999999E-2</v>
      </c>
      <c r="D3">
        <v>2.713563E-3</v>
      </c>
      <c r="E3">
        <v>4.1199999999999999E-5</v>
      </c>
      <c r="F3">
        <v>3.7162016000000006E-2</v>
      </c>
      <c r="G3">
        <v>279.14579638716702</v>
      </c>
    </row>
    <row r="4" spans="1:7" x14ac:dyDescent="0.3">
      <c r="A4">
        <v>1001.5</v>
      </c>
      <c r="B4">
        <v>6.6282415999999997E-2</v>
      </c>
      <c r="C4">
        <v>-3.0948422999999999E-2</v>
      </c>
      <c r="D4">
        <v>2.6600790000000001E-3</v>
      </c>
      <c r="E4">
        <v>4.1199999999999999E-5</v>
      </c>
      <c r="F4">
        <v>3.8035272000000002E-2</v>
      </c>
      <c r="G4">
        <v>279.19253193548002</v>
      </c>
    </row>
    <row r="5" spans="1:7" x14ac:dyDescent="0.3">
      <c r="A5">
        <v>1002.5</v>
      </c>
      <c r="B5">
        <v>6.6656109000000005E-2</v>
      </c>
      <c r="C5">
        <v>-3.0394788999999998E-2</v>
      </c>
      <c r="D5">
        <v>2.6048809999999999E-3</v>
      </c>
      <c r="E5">
        <v>4.1199999999999999E-5</v>
      </c>
      <c r="F5">
        <v>3.8907401000000008E-2</v>
      </c>
      <c r="G5">
        <v>279.23921425748398</v>
      </c>
    </row>
    <row r="6" spans="1:7" x14ac:dyDescent="0.3">
      <c r="A6">
        <v>1003.5</v>
      </c>
      <c r="B6">
        <v>6.7029778999999998E-2</v>
      </c>
      <c r="C6">
        <v>-2.9845468999999999E-2</v>
      </c>
      <c r="D6">
        <v>2.5477960000000002E-3</v>
      </c>
      <c r="E6">
        <v>4.1199999999999999E-5</v>
      </c>
      <c r="F6">
        <v>3.9773306000000001E-2</v>
      </c>
      <c r="G6">
        <v>279.28557045068902</v>
      </c>
    </row>
    <row r="7" spans="1:7" x14ac:dyDescent="0.3">
      <c r="A7">
        <v>1004.5</v>
      </c>
      <c r="B7">
        <v>6.7403424000000003E-2</v>
      </c>
      <c r="C7">
        <v>-2.9300418000000002E-2</v>
      </c>
      <c r="D7">
        <v>2.4891689999999998E-3</v>
      </c>
      <c r="E7">
        <v>4.1199999999999999E-5</v>
      </c>
      <c r="F7">
        <v>4.0633375000000006E-2</v>
      </c>
      <c r="G7">
        <v>279.33162123512</v>
      </c>
    </row>
    <row r="8" spans="1:7" x14ac:dyDescent="0.3">
      <c r="A8">
        <v>1005.5</v>
      </c>
      <c r="B8">
        <v>6.7777043999999995E-2</v>
      </c>
      <c r="C8">
        <v>-2.8759664000000001E-2</v>
      </c>
      <c r="D8">
        <v>2.4305429999999999E-3</v>
      </c>
      <c r="E8">
        <v>4.1199999999999999E-5</v>
      </c>
      <c r="F8">
        <v>4.1489122999999996E-2</v>
      </c>
      <c r="G8">
        <v>279.37744759754401</v>
      </c>
    </row>
    <row r="9" spans="1:7" x14ac:dyDescent="0.3">
      <c r="A9">
        <v>1006.5</v>
      </c>
      <c r="B9">
        <v>6.8150640999999998E-2</v>
      </c>
      <c r="C9">
        <v>-2.8219174999999999E-2</v>
      </c>
      <c r="D9">
        <v>2.370203E-3</v>
      </c>
      <c r="E9">
        <v>4.1199999999999999E-5</v>
      </c>
      <c r="F9">
        <v>4.2342869000000005E-2</v>
      </c>
      <c r="G9">
        <v>279.42317353277701</v>
      </c>
    </row>
    <row r="10" spans="1:7" x14ac:dyDescent="0.3">
      <c r="A10">
        <v>1007.5</v>
      </c>
      <c r="B10">
        <v>6.8617134999999996E-2</v>
      </c>
      <c r="C10">
        <v>-2.7682974999999999E-2</v>
      </c>
      <c r="D10">
        <v>2.308147E-3</v>
      </c>
      <c r="E10">
        <v>4.1199999999999999E-5</v>
      </c>
      <c r="F10">
        <v>4.3283506999999999E-2</v>
      </c>
      <c r="G10">
        <v>279.47356128120299</v>
      </c>
    </row>
    <row r="11" spans="1:7" x14ac:dyDescent="0.3">
      <c r="A11">
        <v>1008.5</v>
      </c>
      <c r="B11">
        <v>6.908359E-2</v>
      </c>
      <c r="C11">
        <v>-2.7155043E-2</v>
      </c>
      <c r="D11">
        <v>2.245922E-3</v>
      </c>
      <c r="E11">
        <v>4.1199999999999999E-5</v>
      </c>
      <c r="F11">
        <v>4.4215668999999999E-2</v>
      </c>
      <c r="G11">
        <v>279.52350332282401</v>
      </c>
    </row>
    <row r="12" spans="1:7" x14ac:dyDescent="0.3">
      <c r="A12">
        <v>1009.5</v>
      </c>
      <c r="B12">
        <v>6.9550007999999996E-2</v>
      </c>
      <c r="C12">
        <v>-2.6631341999999999E-2</v>
      </c>
      <c r="D12">
        <v>2.182154E-3</v>
      </c>
      <c r="E12">
        <v>4.1199999999999999E-5</v>
      </c>
      <c r="F12">
        <v>4.5142019999999998E-2</v>
      </c>
      <c r="G12">
        <v>279.57314199787203</v>
      </c>
    </row>
    <row r="13" spans="1:7" x14ac:dyDescent="0.3">
      <c r="A13">
        <v>1010.5</v>
      </c>
      <c r="B13">
        <v>7.0110214000000004E-2</v>
      </c>
      <c r="C13">
        <v>-2.6115848000000001E-2</v>
      </c>
      <c r="D13">
        <v>2.1166710000000001E-3</v>
      </c>
      <c r="E13">
        <v>4.1199999999999999E-5</v>
      </c>
      <c r="F13">
        <v>4.6152237000000013E-2</v>
      </c>
      <c r="G13">
        <v>279.62728388789299</v>
      </c>
    </row>
    <row r="14" spans="1:7" x14ac:dyDescent="0.3">
      <c r="A14">
        <v>1011.5</v>
      </c>
      <c r="B14">
        <v>7.0670364999999999E-2</v>
      </c>
      <c r="C14">
        <v>-2.5612526E-2</v>
      </c>
      <c r="D14">
        <v>2.0510189999999998E-3</v>
      </c>
      <c r="E14">
        <v>4.1199999999999999E-5</v>
      </c>
      <c r="F14">
        <v>4.7150058000000009E-2</v>
      </c>
      <c r="G14">
        <v>279.68077090070801</v>
      </c>
    </row>
    <row r="15" spans="1:7" x14ac:dyDescent="0.3">
      <c r="A15">
        <v>1012.5</v>
      </c>
      <c r="B15">
        <v>7.1229532999999998E-2</v>
      </c>
      <c r="C15">
        <v>-2.5117380000000002E-2</v>
      </c>
      <c r="D15">
        <v>1.9838239999999999E-3</v>
      </c>
      <c r="E15">
        <v>4.1199999999999999E-5</v>
      </c>
      <c r="F15">
        <v>4.8137177000000003E-2</v>
      </c>
      <c r="G15">
        <v>279.73369341331602</v>
      </c>
    </row>
    <row r="16" spans="1:7" x14ac:dyDescent="0.3">
      <c r="A16">
        <v>1013.5</v>
      </c>
      <c r="B16">
        <v>7.1789574999999994E-2</v>
      </c>
      <c r="C16">
        <v>-2.4630398000000001E-2</v>
      </c>
      <c r="D16">
        <v>1.9166319999999999E-3</v>
      </c>
      <c r="E16">
        <v>4.1199999999999999E-5</v>
      </c>
      <c r="F16">
        <v>4.9117009000000003E-2</v>
      </c>
      <c r="G16">
        <v>279.78623433718298</v>
      </c>
    </row>
    <row r="17" spans="1:7" x14ac:dyDescent="0.3">
      <c r="A17">
        <v>1014.5</v>
      </c>
      <c r="B17">
        <v>7.2442419999999993E-2</v>
      </c>
      <c r="C17">
        <v>-2.4155538000000001E-2</v>
      </c>
      <c r="D17">
        <v>1.8492700000000001E-3</v>
      </c>
      <c r="E17">
        <v>4.1199999999999999E-5</v>
      </c>
      <c r="F17">
        <v>5.0177351999999995E-2</v>
      </c>
      <c r="G17">
        <v>279.84310264190299</v>
      </c>
    </row>
    <row r="18" spans="1:7" x14ac:dyDescent="0.3">
      <c r="A18">
        <v>1015.5</v>
      </c>
      <c r="B18">
        <v>7.3095192000000003E-2</v>
      </c>
      <c r="C18">
        <v>-2.3696720000000001E-2</v>
      </c>
      <c r="D18">
        <v>1.7784770000000001E-3</v>
      </c>
      <c r="E18">
        <v>4.1199999999999999E-5</v>
      </c>
      <c r="F18">
        <v>5.1218149000000004E-2</v>
      </c>
      <c r="G18">
        <v>279.89893293503201</v>
      </c>
    </row>
    <row r="19" spans="1:7" x14ac:dyDescent="0.3">
      <c r="A19">
        <v>1016.5</v>
      </c>
      <c r="B19">
        <v>7.3748816999999994E-2</v>
      </c>
      <c r="C19">
        <v>-2.3253916999999999E-2</v>
      </c>
      <c r="D19">
        <v>1.7078589999999999E-3</v>
      </c>
      <c r="E19">
        <v>4.1199999999999999E-5</v>
      </c>
      <c r="F19">
        <v>5.2243959E-2</v>
      </c>
      <c r="G19">
        <v>279.95396925501399</v>
      </c>
    </row>
    <row r="20" spans="1:7" x14ac:dyDescent="0.3">
      <c r="A20">
        <v>1017.5</v>
      </c>
      <c r="B20">
        <v>7.4588017000000006E-2</v>
      </c>
      <c r="C20">
        <v>-2.2823178999999999E-2</v>
      </c>
      <c r="D20">
        <v>1.637241E-3</v>
      </c>
      <c r="E20">
        <v>4.1199999999999999E-5</v>
      </c>
      <c r="F20">
        <v>5.344327900000001E-2</v>
      </c>
      <c r="G20">
        <v>280.018327351805</v>
      </c>
    </row>
    <row r="21" spans="1:7" x14ac:dyDescent="0.3">
      <c r="A21">
        <v>1018.5</v>
      </c>
      <c r="B21">
        <v>7.5519902E-2</v>
      </c>
      <c r="C21">
        <v>-2.2404490999999999E-2</v>
      </c>
      <c r="D21">
        <v>1.5647359999999999E-3</v>
      </c>
      <c r="E21">
        <v>4.1199999999999999E-5</v>
      </c>
      <c r="F21">
        <v>5.4721347000000004E-2</v>
      </c>
      <c r="G21">
        <v>280.08692620360301</v>
      </c>
    </row>
    <row r="22" spans="1:7" x14ac:dyDescent="0.3">
      <c r="A22">
        <v>1019.5</v>
      </c>
      <c r="B22">
        <v>7.6451635000000004E-2</v>
      </c>
      <c r="C22">
        <v>-2.2005726999999999E-2</v>
      </c>
      <c r="D22">
        <v>1.490517E-3</v>
      </c>
      <c r="E22">
        <v>4.1199999999999999E-5</v>
      </c>
      <c r="F22">
        <v>5.5977625000000003E-2</v>
      </c>
      <c r="G22">
        <v>280.154370467516</v>
      </c>
    </row>
    <row r="23" spans="1:7" x14ac:dyDescent="0.3">
      <c r="A23">
        <v>1020.5</v>
      </c>
      <c r="B23">
        <v>7.7384144000000002E-2</v>
      </c>
      <c r="C23">
        <v>-2.1626861000000001E-2</v>
      </c>
      <c r="D23">
        <v>1.416472E-3</v>
      </c>
      <c r="E23">
        <v>4.1199999999999999E-5</v>
      </c>
      <c r="F23">
        <v>5.7214955000000012E-2</v>
      </c>
      <c r="G23">
        <v>280.220811991848</v>
      </c>
    </row>
    <row r="24" spans="1:7" x14ac:dyDescent="0.3">
      <c r="A24">
        <v>1021.5</v>
      </c>
      <c r="B24">
        <v>7.8409260999999994E-2</v>
      </c>
      <c r="C24">
        <v>-2.1263909000000001E-2</v>
      </c>
      <c r="D24">
        <v>1.3424279999999999E-3</v>
      </c>
      <c r="E24">
        <v>4.1199999999999999E-5</v>
      </c>
      <c r="F24">
        <v>5.8528980000000001E-2</v>
      </c>
      <c r="G24">
        <v>280.29138776814199</v>
      </c>
    </row>
    <row r="25" spans="1:7" x14ac:dyDescent="0.3">
      <c r="A25">
        <v>1022.5</v>
      </c>
      <c r="B25">
        <v>7.9526938000000005E-2</v>
      </c>
      <c r="C25">
        <v>-2.0916855000000002E-2</v>
      </c>
      <c r="D25">
        <v>1.2664969999999999E-3</v>
      </c>
      <c r="E25">
        <v>4.1199999999999999E-5</v>
      </c>
      <c r="F25">
        <v>5.9917780000000011E-2</v>
      </c>
      <c r="G25">
        <v>280.36599737428099</v>
      </c>
    </row>
    <row r="26" spans="1:7" x14ac:dyDescent="0.3">
      <c r="A26">
        <v>1023.5</v>
      </c>
      <c r="B26">
        <v>8.0645324000000004E-2</v>
      </c>
      <c r="C26">
        <v>-2.0593598000000001E-2</v>
      </c>
      <c r="D26">
        <v>1.1888510000000001E-3</v>
      </c>
      <c r="E26">
        <v>4.1199999999999999E-5</v>
      </c>
      <c r="F26">
        <v>6.1281777000000003E-2</v>
      </c>
      <c r="G26">
        <v>280.43929215177798</v>
      </c>
    </row>
    <row r="27" spans="1:7" x14ac:dyDescent="0.3">
      <c r="A27">
        <v>1024.5</v>
      </c>
      <c r="B27">
        <v>8.1762563999999996E-2</v>
      </c>
      <c r="C27">
        <v>-2.0294113999999999E-2</v>
      </c>
      <c r="D27">
        <v>1.111206E-3</v>
      </c>
      <c r="E27">
        <v>4.1199999999999999E-5</v>
      </c>
      <c r="F27">
        <v>6.2620855999999989E-2</v>
      </c>
      <c r="G27">
        <v>280.51126506206901</v>
      </c>
    </row>
    <row r="28" spans="1:7" x14ac:dyDescent="0.3">
      <c r="A28">
        <v>1025.5</v>
      </c>
      <c r="B28">
        <v>8.2879585000000006E-2</v>
      </c>
      <c r="C28">
        <v>-2.0010429999999999E-2</v>
      </c>
      <c r="D28">
        <v>1.033735E-3</v>
      </c>
      <c r="E28">
        <v>4.1199999999999999E-5</v>
      </c>
      <c r="F28">
        <v>6.3944089999999995E-2</v>
      </c>
      <c r="G28">
        <v>280.58240289056698</v>
      </c>
    </row>
    <row r="29" spans="1:7" x14ac:dyDescent="0.3">
      <c r="A29">
        <v>1026.5</v>
      </c>
      <c r="B29">
        <v>8.3997314000000003E-2</v>
      </c>
      <c r="C29">
        <v>-1.9750482E-2</v>
      </c>
      <c r="D29">
        <v>9.5454800000000005E-4</v>
      </c>
      <c r="E29">
        <v>4.1199999999999999E-5</v>
      </c>
      <c r="F29">
        <v>6.5242579999999994E-2</v>
      </c>
      <c r="G29">
        <v>280.65222653415401</v>
      </c>
    </row>
    <row r="30" spans="1:7" x14ac:dyDescent="0.3">
      <c r="A30">
        <v>1027.5</v>
      </c>
      <c r="B30">
        <v>8.5207475000000005E-2</v>
      </c>
      <c r="C30">
        <v>-1.9518165000000001E-2</v>
      </c>
      <c r="D30">
        <v>8.7518899999999996E-4</v>
      </c>
      <c r="E30">
        <v>4.1199999999999999E-5</v>
      </c>
      <c r="F30">
        <v>6.660569899999999E-2</v>
      </c>
      <c r="G30">
        <v>280.72554265017601</v>
      </c>
    </row>
    <row r="31" spans="1:7" x14ac:dyDescent="0.3">
      <c r="A31">
        <v>1028.5</v>
      </c>
      <c r="B31">
        <v>8.6416453000000004E-2</v>
      </c>
      <c r="C31">
        <v>-1.9309507E-2</v>
      </c>
      <c r="D31">
        <v>7.9583200000000001E-4</v>
      </c>
      <c r="E31">
        <v>4.1199999999999999E-5</v>
      </c>
      <c r="F31">
        <v>6.7943977999999988E-2</v>
      </c>
      <c r="G31">
        <v>280.79753973083001</v>
      </c>
    </row>
    <row r="32" spans="1:7" x14ac:dyDescent="0.3">
      <c r="A32">
        <v>1029.5</v>
      </c>
      <c r="B32">
        <v>8.7532563999999993E-2</v>
      </c>
      <c r="C32">
        <v>-1.9128484000000001E-2</v>
      </c>
      <c r="D32">
        <v>7.1475800000000002E-4</v>
      </c>
      <c r="E32">
        <v>4.1199999999999999E-5</v>
      </c>
      <c r="F32">
        <v>6.9160037999999979E-2</v>
      </c>
      <c r="G32">
        <v>280.86297619146802</v>
      </c>
    </row>
    <row r="33" spans="1:7" x14ac:dyDescent="0.3">
      <c r="A33">
        <v>1030.5</v>
      </c>
      <c r="B33">
        <v>8.8649382999999998E-2</v>
      </c>
      <c r="C33">
        <v>-1.8975043E-2</v>
      </c>
      <c r="D33">
        <v>6.3196599999999997E-4</v>
      </c>
      <c r="E33">
        <v>4.1199999999999999E-5</v>
      </c>
      <c r="F33">
        <v>7.034750599999999E-2</v>
      </c>
      <c r="G33">
        <v>280.92688759597701</v>
      </c>
    </row>
    <row r="34" spans="1:7" x14ac:dyDescent="0.3">
      <c r="A34">
        <v>1031.5</v>
      </c>
      <c r="B34">
        <v>8.9672481999999998E-2</v>
      </c>
      <c r="C34">
        <v>-1.8849168999999999E-2</v>
      </c>
      <c r="D34">
        <v>5.4934700000000005E-4</v>
      </c>
      <c r="E34">
        <v>4.1199999999999999E-5</v>
      </c>
      <c r="F34">
        <v>7.1413859999999996E-2</v>
      </c>
      <c r="G34">
        <v>280.98429152437399</v>
      </c>
    </row>
    <row r="35" spans="1:7" x14ac:dyDescent="0.3">
      <c r="A35">
        <v>1032.5</v>
      </c>
      <c r="B35">
        <v>9.0601908999999994E-2</v>
      </c>
      <c r="C35">
        <v>-1.8750815000000001E-2</v>
      </c>
      <c r="D35">
        <v>4.6672599999999999E-4</v>
      </c>
      <c r="E35">
        <v>4.1199999999999999E-5</v>
      </c>
      <c r="F35">
        <v>7.2359019999999982E-2</v>
      </c>
      <c r="G35">
        <v>281.03518038694301</v>
      </c>
    </row>
    <row r="36" spans="1:7" x14ac:dyDescent="0.3">
      <c r="A36">
        <v>1033.5</v>
      </c>
      <c r="B36">
        <v>9.1531186E-2</v>
      </c>
      <c r="C36">
        <v>-1.8680009000000001E-2</v>
      </c>
      <c r="D36">
        <v>3.8393299999999998E-4</v>
      </c>
      <c r="E36">
        <v>4.1199999999999999E-5</v>
      </c>
      <c r="F36">
        <v>7.3276309999999997E-2</v>
      </c>
      <c r="G36">
        <v>281.08457653106399</v>
      </c>
    </row>
    <row r="37" spans="1:7" x14ac:dyDescent="0.3">
      <c r="A37">
        <v>1034.5</v>
      </c>
      <c r="B37">
        <v>9.2367778999999997E-2</v>
      </c>
      <c r="C37">
        <v>-1.8644648999999999E-2</v>
      </c>
      <c r="D37">
        <v>2.9942100000000002E-4</v>
      </c>
      <c r="E37">
        <v>4.1199999999999999E-5</v>
      </c>
      <c r="F37">
        <v>7.4063750999999983E-2</v>
      </c>
      <c r="G37">
        <v>281.12698649056802</v>
      </c>
    </row>
    <row r="38" spans="1:7" x14ac:dyDescent="0.3">
      <c r="A38">
        <v>1035.5</v>
      </c>
      <c r="B38">
        <v>9.3111729000000004E-2</v>
      </c>
      <c r="C38">
        <v>-1.8640779999999999E-2</v>
      </c>
      <c r="D38">
        <v>2.1490600000000001E-4</v>
      </c>
      <c r="E38">
        <v>4.1199999999999999E-5</v>
      </c>
      <c r="F38">
        <v>7.4727055000000001E-2</v>
      </c>
      <c r="G38">
        <v>281.16271510835401</v>
      </c>
    </row>
    <row r="39" spans="1:7" x14ac:dyDescent="0.3">
      <c r="A39">
        <v>1036.5</v>
      </c>
      <c r="B39">
        <v>9.3762147000000004E-2</v>
      </c>
      <c r="C39">
        <v>-1.8668361000000001E-2</v>
      </c>
      <c r="D39">
        <v>1.3038899999999999E-4</v>
      </c>
      <c r="E39">
        <v>4.1199999999999999E-5</v>
      </c>
      <c r="F39">
        <v>7.5265374999999982E-2</v>
      </c>
      <c r="G39">
        <v>281.19171420995099</v>
      </c>
    </row>
    <row r="40" spans="1:7" x14ac:dyDescent="0.3">
      <c r="A40">
        <v>1037.5</v>
      </c>
      <c r="B40">
        <v>9.4319990000000006E-2</v>
      </c>
      <c r="C40">
        <v>-1.8727398999999999E-2</v>
      </c>
      <c r="D40" s="9">
        <v>4.4199999999999997E-5</v>
      </c>
      <c r="E40">
        <v>4.1199999999999999E-5</v>
      </c>
      <c r="F40">
        <v>7.5677991E-2</v>
      </c>
      <c r="G40">
        <v>281.21394066676697</v>
      </c>
    </row>
    <row r="41" spans="1:7" x14ac:dyDescent="0.3">
      <c r="A41">
        <v>1038.5</v>
      </c>
      <c r="B41">
        <v>9.4784360999999998E-2</v>
      </c>
      <c r="C41">
        <v>-1.8821885999999999E-2</v>
      </c>
      <c r="D41" s="9">
        <v>-4.21E-5</v>
      </c>
      <c r="E41">
        <v>4.1199999999999999E-5</v>
      </c>
      <c r="F41">
        <v>7.596157499999999E-2</v>
      </c>
      <c r="G41">
        <v>281.22922191207999</v>
      </c>
    </row>
    <row r="42" spans="1:7" x14ac:dyDescent="0.3">
      <c r="A42">
        <v>1039.5</v>
      </c>
      <c r="B42">
        <v>9.5062791999999993E-2</v>
      </c>
      <c r="C42">
        <v>-1.8955748000000001E-2</v>
      </c>
      <c r="D42">
        <v>-1.2816499999999999E-4</v>
      </c>
      <c r="E42">
        <v>4.1199999999999999E-5</v>
      </c>
      <c r="F42">
        <v>7.6020078999999977E-2</v>
      </c>
      <c r="G42">
        <v>281.23237241247699</v>
      </c>
    </row>
    <row r="43" spans="1:7" x14ac:dyDescent="0.3">
      <c r="A43">
        <v>1040.5</v>
      </c>
      <c r="B43">
        <v>9.5156235000000006E-2</v>
      </c>
      <c r="C43">
        <v>-1.9121095000000001E-2</v>
      </c>
      <c r="D43">
        <v>-2.1424500000000001E-4</v>
      </c>
      <c r="E43">
        <v>4.1199999999999999E-5</v>
      </c>
      <c r="F43">
        <v>7.5862094999999991E-2</v>
      </c>
      <c r="G43">
        <v>281.22385884277799</v>
      </c>
    </row>
    <row r="44" spans="1:7" x14ac:dyDescent="0.3">
      <c r="A44">
        <v>1041.5</v>
      </c>
      <c r="B44">
        <v>9.5156266000000003E-2</v>
      </c>
      <c r="C44">
        <v>-1.9325852000000001E-2</v>
      </c>
      <c r="D44">
        <v>-3.0222099999999998E-4</v>
      </c>
      <c r="E44">
        <v>4.1199999999999999E-5</v>
      </c>
      <c r="F44">
        <v>7.5569392999999985E-2</v>
      </c>
      <c r="G44">
        <v>281.20808709008099</v>
      </c>
    </row>
    <row r="45" spans="1:7" x14ac:dyDescent="0.3">
      <c r="A45">
        <v>1042.5</v>
      </c>
      <c r="B45">
        <v>9.5062882000000001E-2</v>
      </c>
      <c r="C45">
        <v>-1.9566088999999998E-2</v>
      </c>
      <c r="D45">
        <v>-3.9020299999999999E-4</v>
      </c>
      <c r="E45">
        <v>4.1199999999999999E-5</v>
      </c>
      <c r="F45">
        <v>7.5147789999999992E-2</v>
      </c>
      <c r="G45">
        <v>281.18537178492699</v>
      </c>
    </row>
    <row r="46" spans="1:7" x14ac:dyDescent="0.3">
      <c r="A46">
        <v>1043.5</v>
      </c>
      <c r="B46">
        <v>9.4969496E-2</v>
      </c>
      <c r="C46">
        <v>-1.9830003999999998E-2</v>
      </c>
      <c r="D46">
        <v>-4.7819200000000001E-4</v>
      </c>
      <c r="E46">
        <v>4.1199999999999999E-5</v>
      </c>
      <c r="F46">
        <v>7.4702499999999991E-2</v>
      </c>
      <c r="G46">
        <v>281.16138221235599</v>
      </c>
    </row>
    <row r="47" spans="1:7" x14ac:dyDescent="0.3">
      <c r="A47">
        <v>1044.5</v>
      </c>
      <c r="B47">
        <v>9.4877034999999998E-2</v>
      </c>
      <c r="C47">
        <v>-2.0117655000000002E-2</v>
      </c>
      <c r="D47">
        <v>-5.6790599999999997E-4</v>
      </c>
      <c r="E47">
        <v>4.1199999999999999E-5</v>
      </c>
      <c r="F47">
        <v>7.4232673999999998E-2</v>
      </c>
      <c r="G47">
        <v>281.13607274481899</v>
      </c>
    </row>
    <row r="48" spans="1:7" x14ac:dyDescent="0.3">
      <c r="A48">
        <v>1045.5</v>
      </c>
      <c r="B48">
        <v>9.4784571999999997E-2</v>
      </c>
      <c r="C48">
        <v>-2.0421187E-2</v>
      </c>
      <c r="D48">
        <v>-6.5762800000000005E-4</v>
      </c>
      <c r="E48">
        <v>4.1199999999999999E-5</v>
      </c>
      <c r="F48">
        <v>7.3746957000000002E-2</v>
      </c>
      <c r="G48">
        <v>281.109909618941</v>
      </c>
    </row>
    <row r="49" spans="1:7" x14ac:dyDescent="0.3">
      <c r="A49">
        <v>1046.5</v>
      </c>
      <c r="B49">
        <v>9.4784601999999996E-2</v>
      </c>
      <c r="C49">
        <v>-2.0724814000000001E-2</v>
      </c>
      <c r="D49">
        <v>-7.4563799999999996E-4</v>
      </c>
      <c r="E49">
        <v>4.1199999999999999E-5</v>
      </c>
      <c r="F49">
        <v>7.3355349999999972E-2</v>
      </c>
      <c r="G49">
        <v>281.08881714268603</v>
      </c>
    </row>
    <row r="50" spans="1:7" x14ac:dyDescent="0.3">
      <c r="A50">
        <v>1047.5</v>
      </c>
      <c r="B50">
        <v>9.4877126000000006E-2</v>
      </c>
      <c r="C50">
        <v>-2.1028498999999999E-2</v>
      </c>
      <c r="D50">
        <v>-8.3365399999999997E-4</v>
      </c>
      <c r="E50">
        <v>4.1199999999999999E-5</v>
      </c>
      <c r="F50">
        <v>7.3056172999999988E-2</v>
      </c>
      <c r="G50">
        <v>281.07270374722799</v>
      </c>
    </row>
    <row r="51" spans="1:7" x14ac:dyDescent="0.3">
      <c r="A51">
        <v>1048.5</v>
      </c>
      <c r="B51">
        <v>9.5155555000000003E-2</v>
      </c>
      <c r="C51">
        <v>-2.1324398000000001E-2</v>
      </c>
      <c r="D51">
        <v>-9.2511299999999998E-4</v>
      </c>
      <c r="E51">
        <v>4.1199999999999999E-5</v>
      </c>
      <c r="F51">
        <v>7.2947243999999994E-2</v>
      </c>
      <c r="G51">
        <v>281.06683630603101</v>
      </c>
    </row>
    <row r="52" spans="1:7" x14ac:dyDescent="0.3">
      <c r="A52">
        <v>1049.5</v>
      </c>
      <c r="B52">
        <v>9.5713267000000005E-2</v>
      </c>
      <c r="C52">
        <v>-2.1600650999999998E-2</v>
      </c>
      <c r="D52">
        <v>-1.0165759999999999E-3</v>
      </c>
      <c r="E52">
        <v>4.1199999999999999E-5</v>
      </c>
      <c r="F52">
        <v>7.3137239999999992E-2</v>
      </c>
      <c r="G52">
        <v>281.07706681604901</v>
      </c>
    </row>
    <row r="53" spans="1:7" x14ac:dyDescent="0.3">
      <c r="A53">
        <v>1050.5</v>
      </c>
      <c r="B53">
        <v>9.6549252000000002E-2</v>
      </c>
      <c r="C53">
        <v>-2.1857240999999999E-2</v>
      </c>
      <c r="D53">
        <v>-1.1063239999999999E-3</v>
      </c>
      <c r="E53">
        <v>4.1199999999999999E-5</v>
      </c>
      <c r="F53">
        <v>7.3626886999999988E-2</v>
      </c>
      <c r="G53">
        <v>281.10343625366198</v>
      </c>
    </row>
    <row r="54" spans="1:7" x14ac:dyDescent="0.3">
      <c r="A54">
        <v>1051.5</v>
      </c>
      <c r="B54">
        <v>9.7478492E-2</v>
      </c>
      <c r="C54">
        <v>-2.2090227E-2</v>
      </c>
      <c r="D54">
        <v>-1.195904E-3</v>
      </c>
      <c r="E54">
        <v>4.1199999999999999E-5</v>
      </c>
      <c r="F54">
        <v>7.423356099999999E-2</v>
      </c>
      <c r="G54">
        <v>281.13611147844102</v>
      </c>
    </row>
    <row r="55" spans="1:7" x14ac:dyDescent="0.3">
      <c r="A55">
        <v>1052.5</v>
      </c>
      <c r="B55">
        <v>9.8593374999999997E-2</v>
      </c>
      <c r="C55">
        <v>-2.2307483999999999E-2</v>
      </c>
      <c r="D55">
        <v>-1.2872059999999999E-3</v>
      </c>
      <c r="E55">
        <v>4.1199999999999999E-5</v>
      </c>
      <c r="F55">
        <v>7.5039884999999987E-2</v>
      </c>
      <c r="G55">
        <v>281.17954542631298</v>
      </c>
    </row>
    <row r="56" spans="1:7" x14ac:dyDescent="0.3">
      <c r="A56">
        <v>1053.5</v>
      </c>
      <c r="B56">
        <v>9.9985277999999997E-2</v>
      </c>
      <c r="C56">
        <v>-2.2524791999999998E-2</v>
      </c>
      <c r="D56">
        <v>-1.378684E-3</v>
      </c>
      <c r="E56">
        <v>4.1199999999999999E-5</v>
      </c>
      <c r="F56">
        <v>7.6123001999999981E-2</v>
      </c>
      <c r="G56">
        <v>281.23789952603801</v>
      </c>
    </row>
    <row r="57" spans="1:7" x14ac:dyDescent="0.3">
      <c r="A57">
        <v>1054.5</v>
      </c>
      <c r="B57">
        <v>0.10147015199999999</v>
      </c>
      <c r="C57">
        <v>-2.2753974999999999E-2</v>
      </c>
      <c r="D57">
        <v>-1.470166E-3</v>
      </c>
      <c r="E57">
        <v>4.1199999999999999E-5</v>
      </c>
      <c r="F57">
        <v>7.7287210999999995E-2</v>
      </c>
      <c r="G57">
        <v>281.30063493990201</v>
      </c>
    </row>
    <row r="58" spans="1:7" x14ac:dyDescent="0.3">
      <c r="A58">
        <v>1055.5</v>
      </c>
      <c r="B58">
        <v>0.103140286</v>
      </c>
      <c r="C58">
        <v>-2.3002979E-2</v>
      </c>
      <c r="D58">
        <v>-1.561654E-3</v>
      </c>
      <c r="E58">
        <v>4.1199999999999999E-5</v>
      </c>
      <c r="F58">
        <v>7.8616852999999987E-2</v>
      </c>
      <c r="G58">
        <v>281.37230083466198</v>
      </c>
    </row>
    <row r="59" spans="1:7" x14ac:dyDescent="0.3">
      <c r="A59">
        <v>1056.5</v>
      </c>
      <c r="B59">
        <v>0.104995515</v>
      </c>
      <c r="C59">
        <v>-2.3287660000000002E-2</v>
      </c>
      <c r="D59">
        <v>-1.6531479999999999E-3</v>
      </c>
      <c r="E59">
        <v>4.1199999999999999E-5</v>
      </c>
      <c r="F59">
        <v>8.0095906999999994E-2</v>
      </c>
      <c r="G59">
        <v>281.45203965191803</v>
      </c>
    </row>
    <row r="60" spans="1:7" x14ac:dyDescent="0.3">
      <c r="A60">
        <v>1057.5</v>
      </c>
      <c r="B60">
        <v>0.10685014</v>
      </c>
      <c r="C60">
        <v>-2.3619885E-2</v>
      </c>
      <c r="D60">
        <v>-1.7446530000000001E-3</v>
      </c>
      <c r="E60">
        <v>4.1199999999999999E-5</v>
      </c>
      <c r="F60">
        <v>8.1526801999999995E-2</v>
      </c>
      <c r="G60">
        <v>281.52920183956502</v>
      </c>
    </row>
    <row r="61" spans="1:7" x14ac:dyDescent="0.3">
      <c r="A61">
        <v>1058.5</v>
      </c>
      <c r="B61">
        <v>0.108796431</v>
      </c>
      <c r="C61">
        <v>-2.4011546000000002E-2</v>
      </c>
      <c r="D61">
        <v>-1.8361670000000001E-3</v>
      </c>
      <c r="E61">
        <v>4.1199999999999999E-5</v>
      </c>
      <c r="F61">
        <v>8.2989917999999996E-2</v>
      </c>
      <c r="G61">
        <v>281.60812156722398</v>
      </c>
    </row>
    <row r="62" spans="1:7" x14ac:dyDescent="0.3">
      <c r="A62">
        <v>1059.5</v>
      </c>
      <c r="B62">
        <v>0.110835217</v>
      </c>
      <c r="C62">
        <v>-2.4474599999999999E-2</v>
      </c>
      <c r="D62">
        <v>-1.929414E-3</v>
      </c>
      <c r="E62">
        <v>4.1199999999999999E-5</v>
      </c>
      <c r="F62">
        <v>8.4472402999999988E-2</v>
      </c>
      <c r="G62">
        <v>281.68810663642699</v>
      </c>
    </row>
    <row r="63" spans="1:7" x14ac:dyDescent="0.3">
      <c r="A63">
        <v>1060.5</v>
      </c>
      <c r="B63">
        <v>0.112873274</v>
      </c>
      <c r="C63">
        <v>-2.5021042E-2</v>
      </c>
      <c r="D63">
        <v>-2.0209569999999999E-3</v>
      </c>
      <c r="E63">
        <v>4.1199999999999999E-5</v>
      </c>
      <c r="F63">
        <v>8.587247499999999E-2</v>
      </c>
      <c r="G63">
        <v>281.76366433797801</v>
      </c>
    </row>
    <row r="64" spans="1:7" x14ac:dyDescent="0.3">
      <c r="A64">
        <v>1061.5</v>
      </c>
      <c r="B64">
        <v>0.114910602</v>
      </c>
      <c r="C64">
        <v>-2.5658973000000002E-2</v>
      </c>
      <c r="D64">
        <v>-2.1125179999999999E-3</v>
      </c>
      <c r="E64">
        <v>4.1199999999999999E-5</v>
      </c>
      <c r="F64">
        <v>8.7180310999999996E-2</v>
      </c>
      <c r="G64">
        <v>281.83426105505799</v>
      </c>
    </row>
    <row r="65" spans="1:7" x14ac:dyDescent="0.3">
      <c r="A65">
        <v>1062.5</v>
      </c>
      <c r="B65">
        <v>0.11703933900000001</v>
      </c>
      <c r="C65">
        <v>-2.6388537E-2</v>
      </c>
      <c r="D65">
        <v>-2.2058170000000001E-3</v>
      </c>
      <c r="E65">
        <v>4.1199999999999999E-5</v>
      </c>
      <c r="F65">
        <v>8.8486184999999995E-2</v>
      </c>
      <c r="G65">
        <v>281.90476788805699</v>
      </c>
    </row>
    <row r="66" spans="1:7" x14ac:dyDescent="0.3">
      <c r="A66">
        <v>1063.5</v>
      </c>
      <c r="B66">
        <v>0.119167281</v>
      </c>
      <c r="C66">
        <v>-2.7209941000000001E-2</v>
      </c>
      <c r="D66">
        <v>-2.297416E-3</v>
      </c>
      <c r="E66">
        <v>4.1199999999999999E-5</v>
      </c>
      <c r="F66">
        <v>8.9701123999999993E-2</v>
      </c>
      <c r="G66">
        <v>281.970379384561</v>
      </c>
    </row>
    <row r="67" spans="1:7" x14ac:dyDescent="0.3">
      <c r="A67">
        <v>1064.5</v>
      </c>
      <c r="B67">
        <v>0.12120236400000001</v>
      </c>
      <c r="C67">
        <v>-2.8115520000000001E-2</v>
      </c>
      <c r="D67">
        <v>-2.3890360000000002E-3</v>
      </c>
      <c r="E67">
        <v>4.1199999999999999E-5</v>
      </c>
      <c r="F67">
        <v>9.0739007999999996E-2</v>
      </c>
      <c r="G67">
        <v>282.02644001952802</v>
      </c>
    </row>
    <row r="68" spans="1:7" x14ac:dyDescent="0.3">
      <c r="A68">
        <v>1065.5</v>
      </c>
      <c r="B68">
        <v>0.123143767</v>
      </c>
      <c r="C68">
        <v>-2.9101478E-2</v>
      </c>
      <c r="D68">
        <v>-2.482401E-3</v>
      </c>
      <c r="E68">
        <v>4.1199999999999999E-5</v>
      </c>
      <c r="F68">
        <v>9.1601087999999997E-2</v>
      </c>
      <c r="G68">
        <v>282.07301215943801</v>
      </c>
    </row>
    <row r="69" spans="1:7" x14ac:dyDescent="0.3">
      <c r="A69">
        <v>1066.5</v>
      </c>
      <c r="B69">
        <v>0.12508450800000001</v>
      </c>
      <c r="C69">
        <v>-3.0164064000000001E-2</v>
      </c>
      <c r="D69">
        <v>-2.5740659999999999E-3</v>
      </c>
      <c r="E69">
        <v>4.1199999999999999E-5</v>
      </c>
      <c r="F69">
        <v>9.2387577999999998E-2</v>
      </c>
      <c r="G69">
        <v>282.115506747327</v>
      </c>
    </row>
    <row r="70" spans="1:7" x14ac:dyDescent="0.3">
      <c r="A70">
        <v>1067.5</v>
      </c>
      <c r="B70">
        <v>0.126932616</v>
      </c>
      <c r="C70">
        <v>-3.1295602999999998E-2</v>
      </c>
      <c r="D70">
        <v>-2.6657550000000001E-3</v>
      </c>
      <c r="E70">
        <v>4.1199999999999999E-5</v>
      </c>
      <c r="F70">
        <v>9.3012457999999978E-2</v>
      </c>
      <c r="G70">
        <v>282.14927322119303</v>
      </c>
    </row>
    <row r="71" spans="1:7" x14ac:dyDescent="0.3">
      <c r="A71">
        <v>1068.5</v>
      </c>
      <c r="B71">
        <v>0.12859531499999999</v>
      </c>
      <c r="C71">
        <v>-3.2492370999999999E-2</v>
      </c>
      <c r="D71">
        <v>-2.7574700000000001E-3</v>
      </c>
      <c r="E71">
        <v>4.1199999999999999E-5</v>
      </c>
      <c r="F71">
        <v>9.3386673999999989E-2</v>
      </c>
      <c r="G71">
        <v>282.16949573213702</v>
      </c>
    </row>
    <row r="72" spans="1:7" x14ac:dyDescent="0.3">
      <c r="A72">
        <v>1069.5</v>
      </c>
      <c r="B72">
        <v>0.13025752900000001</v>
      </c>
      <c r="C72">
        <v>-3.3754573000000003E-2</v>
      </c>
      <c r="D72">
        <v>-2.8492080000000002E-3</v>
      </c>
      <c r="E72">
        <v>4.1199999999999999E-5</v>
      </c>
      <c r="F72">
        <v>9.3694947999999986E-2</v>
      </c>
      <c r="G72">
        <v>282.18615549212501</v>
      </c>
    </row>
    <row r="73" spans="1:7" x14ac:dyDescent="0.3">
      <c r="A73">
        <v>1070.5</v>
      </c>
      <c r="B73">
        <v>0.13173454900000001</v>
      </c>
      <c r="C73">
        <v>-3.5078485999999999E-2</v>
      </c>
      <c r="D73">
        <v>-2.9409729999999999E-3</v>
      </c>
      <c r="E73">
        <v>4.1199999999999999E-5</v>
      </c>
      <c r="F73">
        <v>9.3756290000000006E-2</v>
      </c>
      <c r="G73">
        <v>282.18946930835801</v>
      </c>
    </row>
    <row r="74" spans="1:7" x14ac:dyDescent="0.3">
      <c r="A74">
        <v>1071.5</v>
      </c>
      <c r="B74">
        <v>0.133027438</v>
      </c>
      <c r="C74">
        <v>-3.6448306E-2</v>
      </c>
      <c r="D74">
        <v>-3.0325909999999998E-3</v>
      </c>
      <c r="E74">
        <v>4.1199999999999999E-5</v>
      </c>
      <c r="F74">
        <v>9.3587740999999988E-2</v>
      </c>
      <c r="G74">
        <v>282.18035772718599</v>
      </c>
    </row>
    <row r="75" spans="1:7" x14ac:dyDescent="0.3">
      <c r="A75">
        <v>1072.5</v>
      </c>
      <c r="B75">
        <v>0.13422725999999999</v>
      </c>
      <c r="C75">
        <v>-3.7812033000000002E-2</v>
      </c>
      <c r="D75">
        <v>-3.1242259999999999E-3</v>
      </c>
      <c r="E75">
        <v>4.1199999999999999E-5</v>
      </c>
      <c r="F75">
        <v>9.333220099999999E-2</v>
      </c>
      <c r="G75">
        <v>282.16654502228999</v>
      </c>
    </row>
    <row r="76" spans="1:7" x14ac:dyDescent="0.3">
      <c r="A76">
        <v>1073.5</v>
      </c>
      <c r="B76">
        <v>0.135241314</v>
      </c>
      <c r="C76">
        <v>-3.9089312000000001E-2</v>
      </c>
      <c r="D76">
        <v>-3.214316E-3</v>
      </c>
      <c r="E76">
        <v>4.1199999999999999E-5</v>
      </c>
      <c r="F76">
        <v>9.2978885999999997E-2</v>
      </c>
      <c r="G76">
        <v>282.14744898320299</v>
      </c>
    </row>
    <row r="77" spans="1:7" x14ac:dyDescent="0.3">
      <c r="A77">
        <v>1074.5</v>
      </c>
      <c r="B77">
        <v>0.13607153699999999</v>
      </c>
      <c r="C77">
        <v>-4.0235547000000003E-2</v>
      </c>
      <c r="D77">
        <v>-3.3043999999999999E-3</v>
      </c>
      <c r="E77">
        <v>4.1199999999999999E-5</v>
      </c>
      <c r="F77">
        <v>9.2572789999999974E-2</v>
      </c>
      <c r="G77">
        <v>282.12550183589502</v>
      </c>
    </row>
    <row r="78" spans="1:7" x14ac:dyDescent="0.3">
      <c r="A78">
        <v>1075.5</v>
      </c>
      <c r="B78">
        <v>0.136809826</v>
      </c>
      <c r="C78">
        <v>-4.1254234000000001E-2</v>
      </c>
      <c r="D78">
        <v>-3.3961999999999998E-3</v>
      </c>
      <c r="E78">
        <v>4.1199999999999999E-5</v>
      </c>
      <c r="F78">
        <v>9.2200591999999984E-2</v>
      </c>
      <c r="G78">
        <v>282.10538796019802</v>
      </c>
    </row>
    <row r="79" spans="1:7" x14ac:dyDescent="0.3">
      <c r="A79">
        <v>1076.5</v>
      </c>
      <c r="B79">
        <v>0.137455297</v>
      </c>
      <c r="C79">
        <v>-4.2148970000000001E-2</v>
      </c>
      <c r="D79">
        <v>-3.487993E-3</v>
      </c>
      <c r="E79">
        <v>4.1199999999999999E-5</v>
      </c>
      <c r="F79">
        <v>9.1859533999999993E-2</v>
      </c>
      <c r="G79">
        <v>282.08695801465302</v>
      </c>
    </row>
    <row r="80" spans="1:7" x14ac:dyDescent="0.3">
      <c r="A80">
        <v>1077.5</v>
      </c>
      <c r="B80">
        <v>0.137916185</v>
      </c>
      <c r="C80">
        <v>-4.2919482000000002E-2</v>
      </c>
      <c r="D80">
        <v>-3.5780539999999998E-3</v>
      </c>
      <c r="E80">
        <v>4.1199999999999999E-5</v>
      </c>
      <c r="F80">
        <v>9.1459848999999982E-2</v>
      </c>
      <c r="G80">
        <v>282.06536163013902</v>
      </c>
    </row>
    <row r="81" spans="1:7" x14ac:dyDescent="0.3">
      <c r="A81">
        <v>1078.5</v>
      </c>
      <c r="B81">
        <v>0.138285243</v>
      </c>
      <c r="C81">
        <v>-4.3569482E-2</v>
      </c>
      <c r="D81">
        <v>-3.6663820000000001E-3</v>
      </c>
      <c r="E81">
        <v>4.1199999999999999E-5</v>
      </c>
      <c r="F81">
        <v>9.1090579000000005E-2</v>
      </c>
      <c r="G81">
        <v>282.04540999068303</v>
      </c>
    </row>
    <row r="82" spans="1:7" x14ac:dyDescent="0.3">
      <c r="A82">
        <v>1079.5</v>
      </c>
      <c r="B82">
        <v>0.13856249200000001</v>
      </c>
      <c r="C82">
        <v>-4.4106801000000001E-2</v>
      </c>
      <c r="D82">
        <v>-3.7546989999999998E-3</v>
      </c>
      <c r="E82">
        <v>4.1199999999999999E-5</v>
      </c>
      <c r="F82">
        <v>9.0742191999999999E-2</v>
      </c>
      <c r="G82">
        <v>282.02658776246398</v>
      </c>
    </row>
    <row r="83" spans="1:7" x14ac:dyDescent="0.3">
      <c r="A83">
        <v>1080.5</v>
      </c>
      <c r="B83">
        <v>0.138747026</v>
      </c>
      <c r="C83">
        <v>-4.4539325999999997E-2</v>
      </c>
      <c r="D83">
        <v>-3.8447279999999999E-3</v>
      </c>
      <c r="E83">
        <v>4.1199999999999999E-5</v>
      </c>
      <c r="F83">
        <v>9.0404171999999991E-2</v>
      </c>
      <c r="G83">
        <v>282.00832666999901</v>
      </c>
    </row>
    <row r="84" spans="1:7" x14ac:dyDescent="0.3">
      <c r="A84">
        <v>1081.5</v>
      </c>
      <c r="B84">
        <v>0.13883885400000001</v>
      </c>
      <c r="C84">
        <v>-4.4862850000000003E-2</v>
      </c>
      <c r="D84">
        <v>-3.9330220000000004E-3</v>
      </c>
      <c r="E84">
        <v>4.1199999999999999E-5</v>
      </c>
      <c r="F84">
        <v>9.0084181999999999E-2</v>
      </c>
      <c r="G84">
        <v>281.99104060439601</v>
      </c>
    </row>
    <row r="85" spans="1:7" x14ac:dyDescent="0.3">
      <c r="A85">
        <v>1082.5</v>
      </c>
      <c r="B85">
        <v>0.13883889899999999</v>
      </c>
      <c r="C85">
        <v>-4.5085345999999998E-2</v>
      </c>
      <c r="D85">
        <v>-4.021302E-3</v>
      </c>
      <c r="E85">
        <v>4.1199999999999999E-5</v>
      </c>
      <c r="F85">
        <v>8.9773450999999976E-2</v>
      </c>
      <c r="G85">
        <v>281.974255511141</v>
      </c>
    </row>
    <row r="86" spans="1:7" x14ac:dyDescent="0.3">
      <c r="A86">
        <v>1083.5</v>
      </c>
      <c r="B86">
        <v>0.13874715900000001</v>
      </c>
      <c r="C86">
        <v>-4.5210844E-2</v>
      </c>
      <c r="D86">
        <v>-4.1095699999999999E-3</v>
      </c>
      <c r="E86">
        <v>4.1199999999999999E-5</v>
      </c>
      <c r="F86">
        <v>8.9467944999999993E-2</v>
      </c>
      <c r="G86">
        <v>281.95775369098999</v>
      </c>
    </row>
    <row r="87" spans="1:7" x14ac:dyDescent="0.3">
      <c r="A87">
        <v>1084.5</v>
      </c>
      <c r="B87">
        <v>0.138562713</v>
      </c>
      <c r="C87">
        <v>-4.5243324000000001E-2</v>
      </c>
      <c r="D87">
        <v>-4.1959279999999998E-3</v>
      </c>
      <c r="E87">
        <v>4.1199999999999999E-5</v>
      </c>
      <c r="F87">
        <v>8.9164660999999992E-2</v>
      </c>
      <c r="G87">
        <v>281.94137267090099</v>
      </c>
    </row>
    <row r="88" spans="1:7" x14ac:dyDescent="0.3">
      <c r="A88">
        <v>1085.5</v>
      </c>
      <c r="B88">
        <v>0.13828555100000001</v>
      </c>
      <c r="C88">
        <v>-4.5186801999999998E-2</v>
      </c>
      <c r="D88">
        <v>-4.2822720000000002E-3</v>
      </c>
      <c r="E88">
        <v>4.1199999999999999E-5</v>
      </c>
      <c r="F88">
        <v>8.8857676999999996E-2</v>
      </c>
      <c r="G88">
        <v>281.924792814792</v>
      </c>
    </row>
    <row r="89" spans="1:7" x14ac:dyDescent="0.3">
      <c r="A89">
        <v>1086.5</v>
      </c>
      <c r="B89">
        <v>0.138009294</v>
      </c>
      <c r="C89">
        <v>-4.5045353000000003E-2</v>
      </c>
      <c r="D89">
        <v>-4.3687730000000003E-3</v>
      </c>
      <c r="E89">
        <v>4.1199999999999999E-5</v>
      </c>
      <c r="F89">
        <v>8.8636367999999979E-2</v>
      </c>
      <c r="G89">
        <v>281.91284029547899</v>
      </c>
    </row>
    <row r="90" spans="1:7" x14ac:dyDescent="0.3">
      <c r="A90">
        <v>1087.5</v>
      </c>
      <c r="B90">
        <v>0.13773302300000001</v>
      </c>
      <c r="C90">
        <v>-4.4823034999999997E-2</v>
      </c>
      <c r="D90">
        <v>-4.4552569999999998E-3</v>
      </c>
      <c r="E90">
        <v>4.1199999999999999E-5</v>
      </c>
      <c r="F90">
        <v>8.8495931E-2</v>
      </c>
      <c r="G90">
        <v>281.90525520888599</v>
      </c>
    </row>
    <row r="91" spans="1:7" x14ac:dyDescent="0.3">
      <c r="A91">
        <v>1088.5</v>
      </c>
      <c r="B91">
        <v>0.13736401500000001</v>
      </c>
      <c r="C91">
        <v>-4.4523963E-2</v>
      </c>
      <c r="D91">
        <v>-4.5417269999999997E-3</v>
      </c>
      <c r="E91">
        <v>4.1199999999999999E-5</v>
      </c>
      <c r="F91">
        <v>8.8339525000000002E-2</v>
      </c>
      <c r="G91">
        <v>281.896808001404</v>
      </c>
    </row>
    <row r="92" spans="1:7" x14ac:dyDescent="0.3">
      <c r="A92">
        <v>1089.5</v>
      </c>
      <c r="B92">
        <v>0.13690316799999999</v>
      </c>
      <c r="C92">
        <v>-4.4156280999999999E-2</v>
      </c>
      <c r="D92">
        <v>-4.6264599999999998E-3</v>
      </c>
      <c r="E92">
        <v>4.1199999999999999E-5</v>
      </c>
      <c r="F92">
        <v>8.8161626999999992E-2</v>
      </c>
      <c r="G92">
        <v>281.88720056965701</v>
      </c>
    </row>
    <row r="93" spans="1:7" x14ac:dyDescent="0.3">
      <c r="A93">
        <v>1090.5</v>
      </c>
      <c r="B93">
        <v>0.136442282</v>
      </c>
      <c r="C93">
        <v>-4.3720109E-2</v>
      </c>
      <c r="D93">
        <v>-4.7094529999999997E-3</v>
      </c>
      <c r="E93">
        <v>4.1199999999999999E-5</v>
      </c>
      <c r="F93">
        <v>8.805391999999998E-2</v>
      </c>
      <c r="G93">
        <v>281.881383497066</v>
      </c>
    </row>
    <row r="94" spans="1:7" x14ac:dyDescent="0.3">
      <c r="A94">
        <v>1091.5</v>
      </c>
      <c r="B94">
        <v>0.13598044200000001</v>
      </c>
      <c r="C94">
        <v>-4.3219556999999999E-2</v>
      </c>
      <c r="D94">
        <v>-4.7941540000000001E-3</v>
      </c>
      <c r="E94">
        <v>4.1199999999999999E-5</v>
      </c>
      <c r="F94">
        <v>8.8007931000000011E-2</v>
      </c>
      <c r="G94">
        <v>281.87889885519502</v>
      </c>
    </row>
    <row r="95" spans="1:7" x14ac:dyDescent="0.3">
      <c r="A95">
        <v>1092.5</v>
      </c>
      <c r="B95">
        <v>0.135519481</v>
      </c>
      <c r="C95">
        <v>-4.2658733999999997E-2</v>
      </c>
      <c r="D95">
        <v>-4.8769420000000004E-3</v>
      </c>
      <c r="E95">
        <v>4.1199999999999999E-5</v>
      </c>
      <c r="F95">
        <v>8.802500499999999E-2</v>
      </c>
      <c r="G95">
        <v>281.87981932512702</v>
      </c>
    </row>
    <row r="96" spans="1:7" x14ac:dyDescent="0.3">
      <c r="A96">
        <v>1093.5</v>
      </c>
      <c r="B96">
        <v>0.13505848200000001</v>
      </c>
      <c r="C96">
        <v>-4.2045842E-2</v>
      </c>
      <c r="D96">
        <v>-4.9579919999999996E-3</v>
      </c>
      <c r="E96">
        <v>4.1199999999999999E-5</v>
      </c>
      <c r="F96">
        <v>8.8095848000000004E-2</v>
      </c>
      <c r="G96">
        <v>281.88364307322502</v>
      </c>
    </row>
    <row r="97" spans="1:7" x14ac:dyDescent="0.3">
      <c r="A97">
        <v>1094.5</v>
      </c>
      <c r="B97">
        <v>0.13450467499999999</v>
      </c>
      <c r="C97">
        <v>-4.1384992000000002E-2</v>
      </c>
      <c r="D97">
        <v>-5.0409260000000003E-3</v>
      </c>
      <c r="E97">
        <v>4.1199999999999999E-5</v>
      </c>
      <c r="F97">
        <v>8.8119956999999971E-2</v>
      </c>
      <c r="G97">
        <v>281.88494342829802</v>
      </c>
    </row>
    <row r="98" spans="1:7" x14ac:dyDescent="0.3">
      <c r="A98">
        <v>1095.5</v>
      </c>
      <c r="B98">
        <v>0.13395173199999999</v>
      </c>
      <c r="C98">
        <v>-4.0676239000000003E-2</v>
      </c>
      <c r="D98">
        <v>-5.1221219999999998E-3</v>
      </c>
      <c r="E98">
        <v>4.1199999999999999E-5</v>
      </c>
      <c r="F98">
        <v>8.8194570999999972E-2</v>
      </c>
      <c r="G98">
        <v>281.888970873745</v>
      </c>
    </row>
    <row r="99" spans="1:7" x14ac:dyDescent="0.3">
      <c r="A99">
        <v>1096.5</v>
      </c>
      <c r="B99">
        <v>0.13349060400000001</v>
      </c>
      <c r="C99">
        <v>-3.9923768999999998E-2</v>
      </c>
      <c r="D99">
        <v>-5.2015769999999998E-3</v>
      </c>
      <c r="E99">
        <v>4.1199999999999999E-5</v>
      </c>
      <c r="F99">
        <v>8.8406458000000007E-2</v>
      </c>
      <c r="G99">
        <v>281.900410828009</v>
      </c>
    </row>
    <row r="100" spans="1:7" x14ac:dyDescent="0.3">
      <c r="A100">
        <v>1097.5</v>
      </c>
      <c r="B100">
        <v>0.13302852000000001</v>
      </c>
      <c r="C100">
        <v>-3.9135718999999999E-2</v>
      </c>
      <c r="D100">
        <v>-5.2810189999999996E-3</v>
      </c>
      <c r="E100">
        <v>4.1199999999999999E-5</v>
      </c>
      <c r="F100">
        <v>8.8652982000000005E-2</v>
      </c>
      <c r="G100">
        <v>281.91372156427798</v>
      </c>
    </row>
    <row r="101" spans="1:7" x14ac:dyDescent="0.3">
      <c r="A101">
        <v>1098.5</v>
      </c>
      <c r="B101">
        <v>0.132566398</v>
      </c>
      <c r="C101">
        <v>-3.8316169999999997E-2</v>
      </c>
      <c r="D101">
        <v>-5.3602770000000001E-3</v>
      </c>
      <c r="E101">
        <v>4.1199999999999999E-5</v>
      </c>
      <c r="F101">
        <v>8.8931151E-2</v>
      </c>
      <c r="G101">
        <v>281.928741817721</v>
      </c>
    </row>
    <row r="102" spans="1:7" x14ac:dyDescent="0.3">
      <c r="A102">
        <v>1099.5</v>
      </c>
      <c r="B102">
        <v>0.132105158</v>
      </c>
      <c r="C102">
        <v>-3.7469270999999998E-2</v>
      </c>
      <c r="D102">
        <v>-5.4395240000000003E-3</v>
      </c>
      <c r="E102">
        <v>4.1199999999999999E-5</v>
      </c>
      <c r="F102">
        <v>8.9237562999999992E-2</v>
      </c>
      <c r="G102">
        <v>281.94528803810698</v>
      </c>
    </row>
    <row r="103" spans="1:7" x14ac:dyDescent="0.3">
      <c r="A103">
        <v>1100.5</v>
      </c>
      <c r="B103">
        <v>0.13164387899999999</v>
      </c>
      <c r="C103">
        <v>-3.6599039999999999E-2</v>
      </c>
      <c r="D103">
        <v>-5.5172090000000003E-3</v>
      </c>
      <c r="E103">
        <v>4.1199999999999999E-5</v>
      </c>
      <c r="F103">
        <v>8.9568829999999988E-2</v>
      </c>
      <c r="G103">
        <v>281.96317757061598</v>
      </c>
    </row>
    <row r="104" spans="1:7" x14ac:dyDescent="0.3">
      <c r="A104">
        <v>1101.5</v>
      </c>
      <c r="B104">
        <v>0.13127446700000001</v>
      </c>
      <c r="C104">
        <v>-3.5705542E-2</v>
      </c>
      <c r="D104">
        <v>-5.5931569999999996E-3</v>
      </c>
      <c r="E104">
        <v>4.1199999999999999E-5</v>
      </c>
      <c r="F104">
        <v>9.0016967999999989E-2</v>
      </c>
      <c r="G104">
        <v>281.98738079787699</v>
      </c>
    </row>
    <row r="105" spans="1:7" x14ac:dyDescent="0.3">
      <c r="A105">
        <v>1102.5</v>
      </c>
      <c r="B105">
        <v>0.130905032</v>
      </c>
      <c r="C105">
        <v>-3.4792898000000003E-2</v>
      </c>
      <c r="D105">
        <v>-5.6690949999999999E-3</v>
      </c>
      <c r="E105">
        <v>4.1199999999999999E-5</v>
      </c>
      <c r="F105">
        <v>9.0484238999999994E-2</v>
      </c>
      <c r="G105">
        <v>282.01261928359401</v>
      </c>
    </row>
    <row r="106" spans="1:7" x14ac:dyDescent="0.3">
      <c r="A106">
        <v>1103.5</v>
      </c>
      <c r="B106">
        <v>0.130628408</v>
      </c>
      <c r="C106">
        <v>-3.3873129000000002E-2</v>
      </c>
      <c r="D106">
        <v>-5.7448519999999999E-3</v>
      </c>
      <c r="E106">
        <v>4.1199999999999999E-5</v>
      </c>
      <c r="F106">
        <v>9.1051626999999996E-2</v>
      </c>
      <c r="G106">
        <v>282.04326852416301</v>
      </c>
    </row>
    <row r="107" spans="1:7" x14ac:dyDescent="0.3">
      <c r="A107">
        <v>1104.5</v>
      </c>
      <c r="B107">
        <v>0.13044460799999999</v>
      </c>
      <c r="C107">
        <v>-3.2946253000000002E-2</v>
      </c>
      <c r="D107">
        <v>-5.8188759999999997E-3</v>
      </c>
      <c r="E107">
        <v>4.1199999999999999E-5</v>
      </c>
      <c r="F107">
        <v>9.1720678999999972E-2</v>
      </c>
      <c r="G107">
        <v>282.07941365037601</v>
      </c>
    </row>
    <row r="108" spans="1:7" x14ac:dyDescent="0.3">
      <c r="A108">
        <v>1105.5</v>
      </c>
      <c r="B108">
        <v>0.13025988299999999</v>
      </c>
      <c r="C108">
        <v>-3.2012251999999998E-2</v>
      </c>
      <c r="D108">
        <v>-5.8913419999999999E-3</v>
      </c>
      <c r="E108">
        <v>4.1199999999999999E-5</v>
      </c>
      <c r="F108">
        <v>9.2397488999999999E-2</v>
      </c>
      <c r="G108">
        <v>282.11598217833102</v>
      </c>
    </row>
    <row r="109" spans="1:7" x14ac:dyDescent="0.3">
      <c r="A109">
        <v>1106.5</v>
      </c>
      <c r="B109">
        <v>0.130075151</v>
      </c>
      <c r="C109">
        <v>-3.1083117E-2</v>
      </c>
      <c r="D109">
        <v>-5.963805E-3</v>
      </c>
      <c r="E109">
        <v>4.1199999999999999E-5</v>
      </c>
      <c r="F109">
        <v>9.3069428999999995E-2</v>
      </c>
      <c r="G109">
        <v>282.152291899293</v>
      </c>
    </row>
    <row r="110" spans="1:7" x14ac:dyDescent="0.3">
      <c r="A110">
        <v>1107.5</v>
      </c>
      <c r="B110">
        <v>0.12998325999999999</v>
      </c>
      <c r="C110">
        <v>-3.0158911E-2</v>
      </c>
      <c r="D110">
        <v>-6.03609E-3</v>
      </c>
      <c r="E110">
        <v>4.1199999999999999E-5</v>
      </c>
      <c r="F110">
        <v>9.382945899999999E-2</v>
      </c>
      <c r="G110">
        <v>282.19336699385701</v>
      </c>
    </row>
    <row r="111" spans="1:7" x14ac:dyDescent="0.3">
      <c r="A111">
        <v>1108.5</v>
      </c>
      <c r="B111">
        <v>0.129983293</v>
      </c>
      <c r="C111">
        <v>-2.9243537999999999E-2</v>
      </c>
      <c r="D111">
        <v>-6.1066469999999998E-3</v>
      </c>
      <c r="E111">
        <v>4.1199999999999999E-5</v>
      </c>
      <c r="F111">
        <v>9.4674307999999985E-2</v>
      </c>
      <c r="G111">
        <v>282.23903277086498</v>
      </c>
    </row>
    <row r="112" spans="1:7" x14ac:dyDescent="0.3">
      <c r="A112">
        <v>1109.5</v>
      </c>
      <c r="B112">
        <v>0.12998332500000001</v>
      </c>
      <c r="C112">
        <v>-2.8340923000000001E-2</v>
      </c>
      <c r="D112">
        <v>-6.1756520000000002E-3</v>
      </c>
      <c r="E112">
        <v>4.1199999999999999E-5</v>
      </c>
      <c r="F112">
        <v>9.5507949999999994E-2</v>
      </c>
      <c r="G112">
        <v>282.28409933980998</v>
      </c>
    </row>
    <row r="113" spans="1:7" x14ac:dyDescent="0.3">
      <c r="A113">
        <v>1110.5</v>
      </c>
      <c r="B113">
        <v>0.13007528400000001</v>
      </c>
      <c r="C113">
        <v>-2.7455021999999999E-2</v>
      </c>
      <c r="D113">
        <v>-6.2446560000000003E-3</v>
      </c>
      <c r="E113">
        <v>4.1199999999999999E-5</v>
      </c>
      <c r="F113">
        <v>9.6416806000000008E-2</v>
      </c>
      <c r="G113">
        <v>282.33323962097398</v>
      </c>
    </row>
    <row r="114" spans="1:7" x14ac:dyDescent="0.3">
      <c r="A114">
        <v>1111.5</v>
      </c>
      <c r="B114">
        <v>0.130260082</v>
      </c>
      <c r="C114">
        <v>-2.6593753000000001E-2</v>
      </c>
      <c r="D114">
        <v>-6.3117650000000004E-3</v>
      </c>
      <c r="E114">
        <v>4.1199999999999999E-5</v>
      </c>
      <c r="F114">
        <v>9.7395763999999996E-2</v>
      </c>
      <c r="G114">
        <v>282.38617905470699</v>
      </c>
    </row>
    <row r="115" spans="1:7" x14ac:dyDescent="0.3">
      <c r="A115">
        <v>1112.5</v>
      </c>
      <c r="B115">
        <v>0.13053679200000001</v>
      </c>
      <c r="C115">
        <v>-2.5757054000000001E-2</v>
      </c>
      <c r="D115">
        <v>-6.3788760000000003E-3</v>
      </c>
      <c r="E115">
        <v>4.1199999999999999E-5</v>
      </c>
      <c r="F115">
        <v>9.8442061999999997E-2</v>
      </c>
      <c r="G115">
        <v>282.44277028936102</v>
      </c>
    </row>
    <row r="116" spans="1:7" x14ac:dyDescent="0.3">
      <c r="A116">
        <v>1113.5</v>
      </c>
      <c r="B116">
        <v>0.13081348900000001</v>
      </c>
      <c r="C116">
        <v>-2.494876E-2</v>
      </c>
      <c r="D116">
        <v>-6.4461639999999999E-3</v>
      </c>
      <c r="E116">
        <v>4.1199999999999999E-5</v>
      </c>
      <c r="F116">
        <v>9.9459764999999992E-2</v>
      </c>
      <c r="G116">
        <v>282.49782471549702</v>
      </c>
    </row>
    <row r="117" spans="1:7" x14ac:dyDescent="0.3">
      <c r="A117">
        <v>1114.5</v>
      </c>
      <c r="B117">
        <v>0.131182998</v>
      </c>
      <c r="C117">
        <v>-2.4176784999999999E-2</v>
      </c>
      <c r="D117">
        <v>-6.5098389999999999E-3</v>
      </c>
      <c r="E117">
        <v>4.1199999999999999E-5</v>
      </c>
      <c r="F117">
        <v>0.10053757399999998</v>
      </c>
      <c r="G117">
        <v>282.556141604331</v>
      </c>
    </row>
    <row r="118" spans="1:7" x14ac:dyDescent="0.3">
      <c r="A118">
        <v>1115.5</v>
      </c>
      <c r="B118">
        <v>0.131644383</v>
      </c>
      <c r="C118">
        <v>-2.3444975999999999E-2</v>
      </c>
      <c r="D118">
        <v>-6.5717969999999999E-3</v>
      </c>
      <c r="E118">
        <v>4.1199999999999999E-5</v>
      </c>
      <c r="F118">
        <v>0.10166880999999998</v>
      </c>
      <c r="G118">
        <v>282.617361160141</v>
      </c>
    </row>
    <row r="119" spans="1:7" x14ac:dyDescent="0.3">
      <c r="A119">
        <v>1116.5</v>
      </c>
      <c r="B119">
        <v>0.132198542</v>
      </c>
      <c r="C119">
        <v>-2.2753204999999999E-2</v>
      </c>
      <c r="D119">
        <v>-6.6339349999999997E-3</v>
      </c>
      <c r="E119">
        <v>4.1199999999999999E-5</v>
      </c>
      <c r="F119">
        <v>0.102852602</v>
      </c>
      <c r="G119">
        <v>282.68143793040701</v>
      </c>
    </row>
    <row r="120" spans="1:7" x14ac:dyDescent="0.3">
      <c r="A120">
        <v>1117.5</v>
      </c>
      <c r="B120">
        <v>0.13284452799999999</v>
      </c>
      <c r="C120">
        <v>-2.2105350999999999E-2</v>
      </c>
      <c r="D120">
        <v>-6.6959109999999997E-3</v>
      </c>
      <c r="E120">
        <v>4.1199999999999999E-5</v>
      </c>
      <c r="F120">
        <v>0.10408446599999999</v>
      </c>
      <c r="G120">
        <v>282.74813097148501</v>
      </c>
    </row>
    <row r="121" spans="1:7" x14ac:dyDescent="0.3">
      <c r="A121">
        <v>1118.5</v>
      </c>
      <c r="B121">
        <v>0.13349044099999999</v>
      </c>
      <c r="C121">
        <v>-2.1501367E-2</v>
      </c>
      <c r="D121">
        <v>-6.7578999999999998E-3</v>
      </c>
      <c r="E121">
        <v>4.1199999999999999E-5</v>
      </c>
      <c r="F121">
        <v>0.10527237399999999</v>
      </c>
      <c r="G121">
        <v>282.812457922833</v>
      </c>
    </row>
    <row r="122" spans="1:7" x14ac:dyDescent="0.3">
      <c r="A122">
        <v>1119.5</v>
      </c>
      <c r="B122">
        <v>0.13432091500000001</v>
      </c>
      <c r="C122">
        <v>-2.094509E-2</v>
      </c>
      <c r="D122">
        <v>-6.8181730000000003E-3</v>
      </c>
      <c r="E122">
        <v>4.1199999999999999E-5</v>
      </c>
      <c r="F122">
        <v>0.10659885200000001</v>
      </c>
      <c r="G122">
        <v>282.88430454849299</v>
      </c>
    </row>
    <row r="123" spans="1:7" x14ac:dyDescent="0.3">
      <c r="A123">
        <v>1120.5</v>
      </c>
      <c r="B123">
        <v>0.13515126699999999</v>
      </c>
      <c r="C123">
        <v>-2.0432479999999999E-2</v>
      </c>
      <c r="D123">
        <v>-6.8750130000000001E-3</v>
      </c>
      <c r="E123">
        <v>4.1199999999999999E-5</v>
      </c>
      <c r="F123">
        <v>0.10788497399999998</v>
      </c>
      <c r="G123">
        <v>282.953981366628</v>
      </c>
    </row>
    <row r="124" spans="1:7" x14ac:dyDescent="0.3">
      <c r="A124">
        <v>1121.5</v>
      </c>
      <c r="B124">
        <v>0.13598149800000001</v>
      </c>
      <c r="C124">
        <v>-1.9955634E-2</v>
      </c>
      <c r="D124">
        <v>-6.9320359999999999E-3</v>
      </c>
      <c r="E124">
        <v>4.1199999999999999E-5</v>
      </c>
      <c r="F124">
        <v>0.109135028</v>
      </c>
      <c r="G124">
        <v>283.02171921678899</v>
      </c>
    </row>
    <row r="125" spans="1:7" x14ac:dyDescent="0.3">
      <c r="A125">
        <v>1122.5</v>
      </c>
      <c r="B125">
        <v>0.13699615700000001</v>
      </c>
      <c r="C125">
        <v>-1.9522332E-2</v>
      </c>
      <c r="D125">
        <v>-6.9888950000000002E-3</v>
      </c>
      <c r="E125">
        <v>4.1199999999999999E-5</v>
      </c>
      <c r="F125">
        <v>0.11052613</v>
      </c>
      <c r="G125">
        <v>283.09711777698902</v>
      </c>
    </row>
    <row r="126" spans="1:7" x14ac:dyDescent="0.3">
      <c r="A126">
        <v>1123.5</v>
      </c>
      <c r="B126">
        <v>0.13801063399999999</v>
      </c>
      <c r="C126">
        <v>-1.9124608000000001E-2</v>
      </c>
      <c r="D126">
        <v>-7.0440420000000004E-3</v>
      </c>
      <c r="E126">
        <v>4.1199999999999999E-5</v>
      </c>
      <c r="F126">
        <v>0.11188318399999998</v>
      </c>
      <c r="G126">
        <v>283.170688680198</v>
      </c>
    </row>
    <row r="127" spans="1:7" x14ac:dyDescent="0.3">
      <c r="A127">
        <v>1124.5</v>
      </c>
      <c r="B127">
        <v>0.13902493099999999</v>
      </c>
      <c r="C127">
        <v>-1.8758543999999999E-2</v>
      </c>
      <c r="D127">
        <v>-7.0974749999999998E-3</v>
      </c>
      <c r="E127">
        <v>4.1199999999999999E-5</v>
      </c>
      <c r="F127">
        <v>0.11321011199999997</v>
      </c>
      <c r="G127">
        <v>283.24264319579999</v>
      </c>
    </row>
    <row r="128" spans="1:7" x14ac:dyDescent="0.3">
      <c r="A128">
        <v>1125.5</v>
      </c>
      <c r="B128">
        <v>0.14013081199999999</v>
      </c>
      <c r="C128">
        <v>-1.8428054999999999E-2</v>
      </c>
      <c r="D128">
        <v>-7.150918E-3</v>
      </c>
      <c r="E128">
        <v>4.1199999999999999E-5</v>
      </c>
      <c r="F128">
        <v>0.11459303899999998</v>
      </c>
      <c r="G128">
        <v>283.31765222287902</v>
      </c>
    </row>
    <row r="129" spans="1:7" x14ac:dyDescent="0.3">
      <c r="A129">
        <v>1126.5</v>
      </c>
      <c r="B129">
        <v>0.14114473199999999</v>
      </c>
      <c r="C129">
        <v>-1.8129118E-2</v>
      </c>
      <c r="D129">
        <v>-7.2043749999999998E-3</v>
      </c>
      <c r="E129">
        <v>4.1199999999999999E-5</v>
      </c>
      <c r="F129">
        <v>0.11585243899999999</v>
      </c>
      <c r="G129">
        <v>283.38597699133902</v>
      </c>
    </row>
    <row r="130" spans="1:7" x14ac:dyDescent="0.3">
      <c r="A130">
        <v>1127.5</v>
      </c>
      <c r="B130">
        <v>0.14215847200000001</v>
      </c>
      <c r="C130">
        <v>-1.7857793E-2</v>
      </c>
      <c r="D130">
        <v>-7.2561179999999998E-3</v>
      </c>
      <c r="E130">
        <v>4.1199999999999999E-5</v>
      </c>
      <c r="F130">
        <v>0.117085761</v>
      </c>
      <c r="G130">
        <v>283.45290156073497</v>
      </c>
    </row>
    <row r="131" spans="1:7" x14ac:dyDescent="0.3">
      <c r="A131">
        <v>1128.5</v>
      </c>
      <c r="B131">
        <v>0.143263744</v>
      </c>
      <c r="C131">
        <v>-1.7610147999999999E-2</v>
      </c>
      <c r="D131">
        <v>-7.3061419999999998E-3</v>
      </c>
      <c r="E131">
        <v>4.1199999999999999E-5</v>
      </c>
      <c r="F131">
        <v>0.118388654</v>
      </c>
      <c r="G131">
        <v>283.52361713402797</v>
      </c>
    </row>
    <row r="132" spans="1:7" x14ac:dyDescent="0.3">
      <c r="A132">
        <v>1129.5</v>
      </c>
      <c r="B132">
        <v>0.14436971900000001</v>
      </c>
      <c r="C132">
        <v>-1.7390073999999998E-2</v>
      </c>
      <c r="D132">
        <v>-7.3544530000000004E-3</v>
      </c>
      <c r="E132">
        <v>4.1199999999999999E-5</v>
      </c>
      <c r="F132">
        <v>0.119666392</v>
      </c>
      <c r="G132">
        <v>283.592983135954</v>
      </c>
    </row>
    <row r="133" spans="1:7" x14ac:dyDescent="0.3">
      <c r="A133">
        <v>1130.5</v>
      </c>
      <c r="B133">
        <v>0.145474562</v>
      </c>
      <c r="C133">
        <v>-1.7193607E-2</v>
      </c>
      <c r="D133">
        <v>-7.4027720000000002E-3</v>
      </c>
      <c r="E133">
        <v>4.1199999999999999E-5</v>
      </c>
      <c r="F133">
        <v>0.12091938299999999</v>
      </c>
      <c r="G133">
        <v>283.66102075763303</v>
      </c>
    </row>
    <row r="134" spans="1:7" x14ac:dyDescent="0.3">
      <c r="A134">
        <v>1131.5</v>
      </c>
      <c r="B134">
        <v>0.146579192</v>
      </c>
      <c r="C134">
        <v>-1.7012919000000001E-2</v>
      </c>
      <c r="D134">
        <v>-7.4510979999999997E-3</v>
      </c>
      <c r="E134">
        <v>4.1199999999999999E-5</v>
      </c>
      <c r="F134">
        <v>0.122156375</v>
      </c>
      <c r="G134">
        <v>283.728204258711</v>
      </c>
    </row>
    <row r="135" spans="1:7" x14ac:dyDescent="0.3">
      <c r="A135">
        <v>1132.5</v>
      </c>
      <c r="B135">
        <v>0.14768452400000001</v>
      </c>
      <c r="C135">
        <v>-1.6851907999999999E-2</v>
      </c>
      <c r="D135">
        <v>-7.4977070000000002E-3</v>
      </c>
      <c r="E135">
        <v>4.1199999999999999E-5</v>
      </c>
      <c r="F135">
        <v>0.123376109</v>
      </c>
      <c r="G135">
        <v>283.79446473637103</v>
      </c>
    </row>
    <row r="136" spans="1:7" x14ac:dyDescent="0.3">
      <c r="A136">
        <v>1133.5</v>
      </c>
      <c r="B136">
        <v>0.14878872500000001</v>
      </c>
      <c r="C136">
        <v>-1.6710525E-2</v>
      </c>
      <c r="D136">
        <v>-7.5425989999999997E-3</v>
      </c>
      <c r="E136">
        <v>4.1199999999999999E-5</v>
      </c>
      <c r="F136">
        <v>0.124576801</v>
      </c>
      <c r="G136">
        <v>283.85970458535098</v>
      </c>
    </row>
    <row r="137" spans="1:7" x14ac:dyDescent="0.3">
      <c r="A137">
        <v>1134.5</v>
      </c>
      <c r="B137">
        <v>0.14989271200000001</v>
      </c>
      <c r="C137">
        <v>-1.6584857000000001E-2</v>
      </c>
      <c r="D137">
        <v>-7.5874990000000002E-3</v>
      </c>
      <c r="E137">
        <v>4.1199999999999999E-5</v>
      </c>
      <c r="F137">
        <v>0.125761556</v>
      </c>
      <c r="G137">
        <v>283.92409203263401</v>
      </c>
    </row>
    <row r="138" spans="1:7" x14ac:dyDescent="0.3">
      <c r="A138">
        <v>1135.5</v>
      </c>
      <c r="B138">
        <v>0.15090489600000001</v>
      </c>
      <c r="C138">
        <v>-1.6470994999999999E-2</v>
      </c>
      <c r="D138">
        <v>-7.6324060000000004E-3</v>
      </c>
      <c r="E138">
        <v>4.1199999999999999E-5</v>
      </c>
      <c r="F138">
        <v>0.12684269500000001</v>
      </c>
      <c r="G138">
        <v>283.98285986732401</v>
      </c>
    </row>
    <row r="139" spans="1:7" x14ac:dyDescent="0.3">
      <c r="A139">
        <v>1136.5</v>
      </c>
      <c r="B139">
        <v>0.15182532600000001</v>
      </c>
      <c r="C139">
        <v>-1.6365029E-2</v>
      </c>
      <c r="D139">
        <v>-7.6755959999999998E-3</v>
      </c>
      <c r="E139">
        <v>4.1199999999999999E-5</v>
      </c>
      <c r="F139">
        <v>0.12782590099999999</v>
      </c>
      <c r="G139">
        <v>284.03631386824998</v>
      </c>
    </row>
    <row r="140" spans="1:7" x14ac:dyDescent="0.3">
      <c r="A140">
        <v>1137.5</v>
      </c>
      <c r="B140">
        <v>0.15274560600000001</v>
      </c>
      <c r="C140">
        <v>-1.6266919000000001E-2</v>
      </c>
      <c r="D140">
        <v>-7.7170650000000004E-3</v>
      </c>
      <c r="E140">
        <v>4.1199999999999999E-5</v>
      </c>
      <c r="F140">
        <v>0.12880282200000001</v>
      </c>
      <c r="G140">
        <v>284.08943536081102</v>
      </c>
    </row>
    <row r="141" spans="1:7" x14ac:dyDescent="0.3">
      <c r="A141">
        <v>1138.5</v>
      </c>
      <c r="B141">
        <v>0.15357327700000001</v>
      </c>
      <c r="C141">
        <v>-1.6176625E-2</v>
      </c>
      <c r="D141">
        <v>-7.7585409999999999E-3</v>
      </c>
      <c r="E141">
        <v>4.1199999999999999E-5</v>
      </c>
      <c r="F141">
        <v>0.12967931099999999</v>
      </c>
      <c r="G141">
        <v>284.13710330118602</v>
      </c>
    </row>
    <row r="142" spans="1:7" x14ac:dyDescent="0.3">
      <c r="A142">
        <v>1139.5</v>
      </c>
      <c r="B142">
        <v>0.15440082699999999</v>
      </c>
      <c r="C142">
        <v>-1.6094221999999998E-2</v>
      </c>
      <c r="D142">
        <v>-7.8000200000000004E-3</v>
      </c>
      <c r="E142">
        <v>4.1199999999999999E-5</v>
      </c>
      <c r="F142">
        <v>0.130547785</v>
      </c>
      <c r="G142">
        <v>284.18434263428298</v>
      </c>
    </row>
    <row r="143" spans="1:7" x14ac:dyDescent="0.3">
      <c r="A143">
        <v>1140.5</v>
      </c>
      <c r="B143">
        <v>0.15522825700000001</v>
      </c>
      <c r="C143">
        <v>-1.6011824000000001E-2</v>
      </c>
      <c r="D143">
        <v>-7.8397759999999997E-3</v>
      </c>
      <c r="E143">
        <v>4.1199999999999999E-5</v>
      </c>
      <c r="F143">
        <v>0.131417857</v>
      </c>
      <c r="G143">
        <v>284.23167607922801</v>
      </c>
    </row>
    <row r="144" spans="1:7" x14ac:dyDescent="0.3">
      <c r="A144">
        <v>1141.5</v>
      </c>
      <c r="B144">
        <v>0.15587163200000001</v>
      </c>
      <c r="C144">
        <v>-1.5929393999999999E-2</v>
      </c>
      <c r="D144">
        <v>-7.8776430000000001E-3</v>
      </c>
      <c r="E144">
        <v>4.1199999999999999E-5</v>
      </c>
      <c r="F144">
        <v>0.132105795</v>
      </c>
      <c r="G144">
        <v>284.269106132567</v>
      </c>
    </row>
    <row r="145" spans="1:7" x14ac:dyDescent="0.3">
      <c r="A145">
        <v>1142.5</v>
      </c>
      <c r="B145">
        <v>0.15642252000000001</v>
      </c>
      <c r="C145">
        <v>-1.5847010000000002E-2</v>
      </c>
      <c r="D145">
        <v>-7.9156859999999999E-3</v>
      </c>
      <c r="E145">
        <v>4.1199999999999999E-5</v>
      </c>
      <c r="F145">
        <v>0.132701024</v>
      </c>
      <c r="G145">
        <v>284.30149546253801</v>
      </c>
    </row>
    <row r="146" spans="1:7" x14ac:dyDescent="0.3">
      <c r="A146">
        <v>1143.5</v>
      </c>
      <c r="B146">
        <v>0.15697427</v>
      </c>
      <c r="C146">
        <v>-1.5760730000000001E-2</v>
      </c>
      <c r="D146">
        <v>-7.9537270000000007E-3</v>
      </c>
      <c r="E146">
        <v>4.1199999999999999E-5</v>
      </c>
      <c r="F146">
        <v>0.133301013</v>
      </c>
      <c r="G146">
        <v>284.33414712398599</v>
      </c>
    </row>
    <row r="147" spans="1:7" x14ac:dyDescent="0.3">
      <c r="A147">
        <v>1144.5</v>
      </c>
      <c r="B147">
        <v>0.157433565</v>
      </c>
      <c r="C147">
        <v>-1.5670518000000001E-2</v>
      </c>
      <c r="D147">
        <v>-7.9900460000000006E-3</v>
      </c>
      <c r="E147">
        <v>4.1199999999999999E-5</v>
      </c>
      <c r="F147">
        <v>0.13381420099999999</v>
      </c>
      <c r="G147">
        <v>284.36207774443102</v>
      </c>
    </row>
    <row r="148" spans="1:7" x14ac:dyDescent="0.3">
      <c r="A148">
        <v>1145.5</v>
      </c>
      <c r="B148">
        <v>0.15770894899999999</v>
      </c>
      <c r="C148">
        <v>-1.5576375E-2</v>
      </c>
      <c r="D148">
        <v>-8.0246469999999993E-3</v>
      </c>
      <c r="E148">
        <v>4.1199999999999999E-5</v>
      </c>
      <c r="F148">
        <v>0.13414912699999998</v>
      </c>
      <c r="G148">
        <v>284.38030741073902</v>
      </c>
    </row>
    <row r="149" spans="1:7" x14ac:dyDescent="0.3">
      <c r="A149">
        <v>1146.5</v>
      </c>
      <c r="B149">
        <v>0.157892843</v>
      </c>
      <c r="C149">
        <v>-1.5470462000000001E-2</v>
      </c>
      <c r="D149">
        <v>-8.0590750000000006E-3</v>
      </c>
      <c r="E149">
        <v>4.1199999999999999E-5</v>
      </c>
      <c r="F149">
        <v>0.13440450600000001</v>
      </c>
      <c r="G149">
        <v>284.39420785896499</v>
      </c>
    </row>
    <row r="150" spans="1:7" x14ac:dyDescent="0.3">
      <c r="A150">
        <v>1147.5</v>
      </c>
      <c r="B150">
        <v>0.15798434</v>
      </c>
      <c r="C150">
        <v>-1.5352823E-2</v>
      </c>
      <c r="D150">
        <v>-8.0936740000000004E-3</v>
      </c>
      <c r="E150">
        <v>4.1199999999999999E-5</v>
      </c>
      <c r="F150">
        <v>0.13457904300000001</v>
      </c>
      <c r="G150">
        <v>284.40370812451698</v>
      </c>
    </row>
    <row r="151" spans="1:7" x14ac:dyDescent="0.3">
      <c r="A151">
        <v>1148.5</v>
      </c>
      <c r="B151">
        <v>0.15798435899999999</v>
      </c>
      <c r="C151">
        <v>-1.5227361E-2</v>
      </c>
      <c r="D151">
        <v>-8.1265490000000003E-3</v>
      </c>
      <c r="E151">
        <v>4.1199999999999999E-5</v>
      </c>
      <c r="F151">
        <v>0.13467164899999998</v>
      </c>
      <c r="G151">
        <v>284.40874852237602</v>
      </c>
    </row>
    <row r="152" spans="1:7" x14ac:dyDescent="0.3">
      <c r="A152">
        <v>1149.5</v>
      </c>
      <c r="B152">
        <v>0.15798437800000001</v>
      </c>
      <c r="C152">
        <v>-1.5086204000000001E-2</v>
      </c>
      <c r="D152">
        <v>-8.1592450000000007E-3</v>
      </c>
      <c r="E152">
        <v>4.1199999999999999E-5</v>
      </c>
      <c r="F152">
        <v>0.134780129</v>
      </c>
      <c r="G152">
        <v>284.41465312268201</v>
      </c>
    </row>
    <row r="153" spans="1:7" x14ac:dyDescent="0.3">
      <c r="A153">
        <v>1150.5</v>
      </c>
      <c r="B153">
        <v>0.15789291899999999</v>
      </c>
      <c r="C153">
        <v>-1.4937232999999999E-2</v>
      </c>
      <c r="D153">
        <v>-8.1921140000000003E-3</v>
      </c>
      <c r="E153">
        <v>4.1199999999999999E-5</v>
      </c>
      <c r="F153">
        <v>0.13480477199999999</v>
      </c>
      <c r="G153">
        <v>284.41599383663299</v>
      </c>
    </row>
    <row r="154" spans="1:7" x14ac:dyDescent="0.3">
      <c r="A154">
        <v>1151.5</v>
      </c>
      <c r="B154">
        <v>0.15761758100000001</v>
      </c>
      <c r="C154">
        <v>-1.4780450000000001E-2</v>
      </c>
      <c r="D154">
        <v>-8.2232620000000003E-3</v>
      </c>
      <c r="E154">
        <v>4.1199999999999999E-5</v>
      </c>
      <c r="F154">
        <v>0.13465506899999999</v>
      </c>
      <c r="G154">
        <v>284.40784332024299</v>
      </c>
    </row>
    <row r="155" spans="1:7" x14ac:dyDescent="0.3">
      <c r="A155">
        <v>1152.5</v>
      </c>
      <c r="B155">
        <v>0.157342229</v>
      </c>
      <c r="C155">
        <v>-1.461586E-2</v>
      </c>
      <c r="D155">
        <v>-8.2525110000000006E-3</v>
      </c>
      <c r="E155">
        <v>4.1199999999999999E-5</v>
      </c>
      <c r="F155">
        <v>0.13451505799999999</v>
      </c>
      <c r="G155">
        <v>284.40022073841197</v>
      </c>
    </row>
    <row r="156" spans="1:7" x14ac:dyDescent="0.3">
      <c r="A156">
        <v>1153.5</v>
      </c>
      <c r="B156">
        <v>0.157066864</v>
      </c>
      <c r="C156">
        <v>-1.4447362E-2</v>
      </c>
      <c r="D156">
        <v>-8.2819309999999993E-3</v>
      </c>
      <c r="E156">
        <v>4.1199999999999999E-5</v>
      </c>
      <c r="F156">
        <v>0.13437877100000001</v>
      </c>
      <c r="G156">
        <v>284.39280099778102</v>
      </c>
    </row>
    <row r="157" spans="1:7" x14ac:dyDescent="0.3">
      <c r="A157">
        <v>1154.5</v>
      </c>
      <c r="B157">
        <v>0.15669907299999999</v>
      </c>
      <c r="C157">
        <v>-1.4271064999999999E-2</v>
      </c>
      <c r="D157">
        <v>-8.3113509999999998E-3</v>
      </c>
      <c r="E157">
        <v>4.1199999999999999E-5</v>
      </c>
      <c r="F157">
        <v>0.13415785699999999</v>
      </c>
      <c r="G157">
        <v>284.38077500889898</v>
      </c>
    </row>
    <row r="158" spans="1:7" x14ac:dyDescent="0.3">
      <c r="A158">
        <v>1155.5</v>
      </c>
      <c r="B158">
        <v>0.156331258</v>
      </c>
      <c r="C158">
        <v>-1.4094798E-2</v>
      </c>
      <c r="D158">
        <v>-8.3388739999999996E-3</v>
      </c>
      <c r="E158">
        <v>4.1199999999999999E-5</v>
      </c>
      <c r="F158">
        <v>0.133938786</v>
      </c>
      <c r="G158">
        <v>284.368849732657</v>
      </c>
    </row>
    <row r="159" spans="1:7" x14ac:dyDescent="0.3">
      <c r="A159">
        <v>1156.5</v>
      </c>
      <c r="B159">
        <v>0.155871909</v>
      </c>
      <c r="C159">
        <v>-1.3918562000000001E-2</v>
      </c>
      <c r="D159">
        <v>-8.3664010000000007E-3</v>
      </c>
      <c r="E159">
        <v>4.1199999999999999E-5</v>
      </c>
      <c r="F159">
        <v>0.133628146</v>
      </c>
      <c r="G159">
        <v>284.35194095000901</v>
      </c>
    </row>
    <row r="160" spans="1:7" x14ac:dyDescent="0.3">
      <c r="A160">
        <v>1157.5</v>
      </c>
      <c r="B160">
        <v>0.155412523</v>
      </c>
      <c r="C160">
        <v>-1.3738465E-2</v>
      </c>
      <c r="D160">
        <v>-8.3940990000000004E-3</v>
      </c>
      <c r="E160">
        <v>4.1199999999999999E-5</v>
      </c>
      <c r="F160">
        <v>0.13332115899999999</v>
      </c>
      <c r="G160">
        <v>284.33523196211797</v>
      </c>
    </row>
    <row r="161" spans="1:7" x14ac:dyDescent="0.3">
      <c r="A161">
        <v>1158.5</v>
      </c>
      <c r="B161">
        <v>0.15504462399999999</v>
      </c>
      <c r="C161">
        <v>-1.35584E-2</v>
      </c>
      <c r="D161">
        <v>-8.4200690000000005E-3</v>
      </c>
      <c r="E161">
        <v>4.1199999999999999E-5</v>
      </c>
      <c r="F161">
        <v>0.13310735499999998</v>
      </c>
      <c r="G161">
        <v>284.32359514157997</v>
      </c>
    </row>
    <row r="162" spans="1:7" x14ac:dyDescent="0.3">
      <c r="A162">
        <v>1159.5</v>
      </c>
      <c r="B162">
        <v>0.1546767</v>
      </c>
      <c r="C162">
        <v>-1.338226E-2</v>
      </c>
      <c r="D162">
        <v>-8.4458680000000005E-3</v>
      </c>
      <c r="E162">
        <v>4.1199999999999999E-5</v>
      </c>
      <c r="F162">
        <v>0.13288977199999999</v>
      </c>
      <c r="G162">
        <v>284.31175315435001</v>
      </c>
    </row>
    <row r="163" spans="1:7" x14ac:dyDescent="0.3">
      <c r="A163">
        <v>1160.5</v>
      </c>
      <c r="B163">
        <v>0.15421721699999999</v>
      </c>
      <c r="C163">
        <v>-1.3210044000000001E-2</v>
      </c>
      <c r="D163">
        <v>-8.4716730000000007E-3</v>
      </c>
      <c r="E163">
        <v>4.1199999999999999E-5</v>
      </c>
      <c r="F163">
        <v>0.13257669999999996</v>
      </c>
      <c r="G163">
        <v>284.29471527226002</v>
      </c>
    </row>
    <row r="164" spans="1:7" x14ac:dyDescent="0.3">
      <c r="A164">
        <v>1161.5</v>
      </c>
      <c r="B164">
        <v>0.153757695</v>
      </c>
      <c r="C164">
        <v>-1.3041785E-2</v>
      </c>
      <c r="D164">
        <v>-8.4959279999999998E-3</v>
      </c>
      <c r="E164">
        <v>4.1199999999999999E-5</v>
      </c>
      <c r="F164">
        <v>0.132261182</v>
      </c>
      <c r="G164">
        <v>284.27754524818801</v>
      </c>
    </row>
    <row r="165" spans="1:7" x14ac:dyDescent="0.3">
      <c r="A165">
        <v>1162.5</v>
      </c>
      <c r="B165">
        <v>0.15348123799999999</v>
      </c>
      <c r="C165">
        <v>-1.2877484E-2</v>
      </c>
      <c r="D165">
        <v>-8.5201770000000003E-3</v>
      </c>
      <c r="E165">
        <v>4.1199999999999999E-5</v>
      </c>
      <c r="F165">
        <v>0.132124777</v>
      </c>
      <c r="G165">
        <v>284.27012221648403</v>
      </c>
    </row>
    <row r="166" spans="1:7" x14ac:dyDescent="0.3">
      <c r="A166">
        <v>1163.5</v>
      </c>
      <c r="B166">
        <v>0.15320476499999999</v>
      </c>
      <c r="C166">
        <v>-1.2721026E-2</v>
      </c>
      <c r="D166">
        <v>-8.5425320000000003E-3</v>
      </c>
      <c r="E166">
        <v>4.1199999999999999E-5</v>
      </c>
      <c r="F166">
        <v>0.131982407</v>
      </c>
      <c r="G166">
        <v>284.26237483911302</v>
      </c>
    </row>
    <row r="167" spans="1:7" x14ac:dyDescent="0.3">
      <c r="A167">
        <v>1164.5</v>
      </c>
      <c r="B167">
        <v>0.15292919499999999</v>
      </c>
      <c r="C167">
        <v>-1.2576336E-2</v>
      </c>
      <c r="D167">
        <v>-8.5648930000000005E-3</v>
      </c>
      <c r="E167">
        <v>4.1199999999999999E-5</v>
      </c>
      <c r="F167">
        <v>0.131829166</v>
      </c>
      <c r="G167">
        <v>284.254036174823</v>
      </c>
    </row>
    <row r="168" spans="1:7" x14ac:dyDescent="0.3">
      <c r="A168">
        <v>1165.5</v>
      </c>
      <c r="B168">
        <v>0.15274517400000001</v>
      </c>
      <c r="C168">
        <v>-1.2439481E-2</v>
      </c>
      <c r="D168">
        <v>-8.5874260000000004E-3</v>
      </c>
      <c r="E168">
        <v>4.1199999999999999E-5</v>
      </c>
      <c r="F168">
        <v>0.13175946699999999</v>
      </c>
      <c r="G168">
        <v>284.25024314082202</v>
      </c>
    </row>
    <row r="169" spans="1:7" x14ac:dyDescent="0.3">
      <c r="A169">
        <v>1166.5</v>
      </c>
      <c r="B169">
        <v>0.152652708</v>
      </c>
      <c r="C169">
        <v>-1.2314347E-2</v>
      </c>
      <c r="D169">
        <v>-8.608236E-3</v>
      </c>
      <c r="E169">
        <v>4.1199999999999999E-5</v>
      </c>
      <c r="F169">
        <v>0.13177132499999999</v>
      </c>
      <c r="G169">
        <v>284.250887823244</v>
      </c>
    </row>
    <row r="170" spans="1:7" x14ac:dyDescent="0.3">
      <c r="A170">
        <v>1167.5</v>
      </c>
      <c r="B170">
        <v>0.15265271899999999</v>
      </c>
      <c r="C170">
        <v>-1.2200967E-2</v>
      </c>
      <c r="D170">
        <v>-8.6288749999999994E-3</v>
      </c>
      <c r="E170">
        <v>4.1199999999999999E-5</v>
      </c>
      <c r="F170">
        <v>0.13186407699999997</v>
      </c>
      <c r="G170">
        <v>284.25593402757499</v>
      </c>
    </row>
    <row r="171" spans="1:7" x14ac:dyDescent="0.3">
      <c r="A171">
        <v>1168.5</v>
      </c>
      <c r="B171">
        <v>0.15265273100000001</v>
      </c>
      <c r="C171">
        <v>-1.2099336E-2</v>
      </c>
      <c r="D171">
        <v>-8.6495200000000008E-3</v>
      </c>
      <c r="E171">
        <v>4.1199999999999999E-5</v>
      </c>
      <c r="F171">
        <v>0.13194507500000002</v>
      </c>
      <c r="G171">
        <v>284.260340683283</v>
      </c>
    </row>
    <row r="172" spans="1:7" x14ac:dyDescent="0.3">
      <c r="A172">
        <v>1169.5</v>
      </c>
      <c r="B172">
        <v>0.15274521899999999</v>
      </c>
      <c r="C172">
        <v>-1.2013377E-2</v>
      </c>
      <c r="D172">
        <v>-8.6701680000000007E-3</v>
      </c>
      <c r="E172">
        <v>4.1199999999999999E-5</v>
      </c>
      <c r="F172">
        <v>0.13210287399999998</v>
      </c>
      <c r="G172">
        <v>284.26892649074699</v>
      </c>
    </row>
    <row r="173" spans="1:7" x14ac:dyDescent="0.3">
      <c r="A173">
        <v>1170.5</v>
      </c>
      <c r="B173">
        <v>0.15292926400000001</v>
      </c>
      <c r="C173">
        <v>-1.1943046000000001E-2</v>
      </c>
      <c r="D173">
        <v>-8.6892670000000005E-3</v>
      </c>
      <c r="E173">
        <v>4.1199999999999999E-5</v>
      </c>
      <c r="F173">
        <v>0.13233815099999999</v>
      </c>
      <c r="G173">
        <v>284.28172848981097</v>
      </c>
    </row>
    <row r="174" spans="1:7" x14ac:dyDescent="0.3">
      <c r="A174">
        <v>1171.5</v>
      </c>
      <c r="B174">
        <v>0.15311330300000001</v>
      </c>
      <c r="C174">
        <v>-1.1884416E-2</v>
      </c>
      <c r="D174">
        <v>-8.7083709999999995E-3</v>
      </c>
      <c r="E174">
        <v>4.1199999999999999E-5</v>
      </c>
      <c r="F174">
        <v>0.132561716</v>
      </c>
      <c r="G174">
        <v>284.29389364284901</v>
      </c>
    </row>
    <row r="175" spans="1:7" x14ac:dyDescent="0.3">
      <c r="A175">
        <v>1172.5</v>
      </c>
      <c r="B175">
        <v>0.15338980299999999</v>
      </c>
      <c r="C175">
        <v>-1.1837524E-2</v>
      </c>
      <c r="D175">
        <v>-8.7273049999999994E-3</v>
      </c>
      <c r="E175">
        <v>4.1199999999999999E-5</v>
      </c>
      <c r="F175">
        <v>0.132866174</v>
      </c>
      <c r="G175">
        <v>284.31046158598701</v>
      </c>
    </row>
    <row r="176" spans="1:7" x14ac:dyDescent="0.3">
      <c r="A176">
        <v>1173.5</v>
      </c>
      <c r="B176">
        <v>0.15375783400000001</v>
      </c>
      <c r="C176">
        <v>-1.1806252E-2</v>
      </c>
      <c r="D176">
        <v>-8.7445179999999997E-3</v>
      </c>
      <c r="E176">
        <v>4.1199999999999999E-5</v>
      </c>
      <c r="F176">
        <v>0.13324826400000001</v>
      </c>
      <c r="G176">
        <v>284.33125545991999</v>
      </c>
    </row>
    <row r="177" spans="1:7" x14ac:dyDescent="0.3">
      <c r="A177">
        <v>1174.5</v>
      </c>
      <c r="B177">
        <v>0.154124926</v>
      </c>
      <c r="C177">
        <v>-1.1790638000000001E-2</v>
      </c>
      <c r="D177">
        <v>-8.7617379999999998E-3</v>
      </c>
      <c r="E177">
        <v>4.1199999999999999E-5</v>
      </c>
      <c r="F177">
        <v>0.13361375</v>
      </c>
      <c r="G177">
        <v>284.35114698316301</v>
      </c>
    </row>
    <row r="178" spans="1:7" x14ac:dyDescent="0.3">
      <c r="A178">
        <v>1175.5</v>
      </c>
      <c r="B178">
        <v>0.15449199399999999</v>
      </c>
      <c r="C178">
        <v>-1.1790643999999999E-2</v>
      </c>
      <c r="D178">
        <v>-8.7791369999999994E-3</v>
      </c>
      <c r="E178">
        <v>4.1199999999999999E-5</v>
      </c>
      <c r="F178">
        <v>0.133963413</v>
      </c>
      <c r="G178">
        <v>284.370178540567</v>
      </c>
    </row>
    <row r="179" spans="1:7" x14ac:dyDescent="0.3">
      <c r="A179">
        <v>1176.5</v>
      </c>
      <c r="B179">
        <v>0.15485995299999999</v>
      </c>
      <c r="C179">
        <v>-1.1802343999999999E-2</v>
      </c>
      <c r="D179">
        <v>-8.7948179999999994E-3</v>
      </c>
      <c r="E179">
        <v>4.1199999999999999E-5</v>
      </c>
      <c r="F179">
        <v>0.13430399099999998</v>
      </c>
      <c r="G179">
        <v>284.38871676014702</v>
      </c>
    </row>
    <row r="180" spans="1:7" x14ac:dyDescent="0.3">
      <c r="A180">
        <v>1177.5</v>
      </c>
      <c r="B180">
        <v>0.15522788800000001</v>
      </c>
      <c r="C180">
        <v>-1.1829701999999999E-2</v>
      </c>
      <c r="D180">
        <v>-8.8103339999999995E-3</v>
      </c>
      <c r="E180">
        <v>4.1199999999999999E-5</v>
      </c>
      <c r="F180">
        <v>0.134629052</v>
      </c>
      <c r="G180">
        <v>284.40641140978698</v>
      </c>
    </row>
    <row r="181" spans="1:7" x14ac:dyDescent="0.3">
      <c r="A181">
        <v>1178.5</v>
      </c>
      <c r="B181">
        <v>0.15568731399999999</v>
      </c>
      <c r="C181">
        <v>-1.1872719E-2</v>
      </c>
      <c r="D181">
        <v>-8.8258529999999998E-3</v>
      </c>
      <c r="E181">
        <v>4.1199999999999999E-5</v>
      </c>
      <c r="F181">
        <v>0.13502994199999999</v>
      </c>
      <c r="G181">
        <v>284.42823523086003</v>
      </c>
    </row>
    <row r="182" spans="1:7" x14ac:dyDescent="0.3">
      <c r="A182">
        <v>1179.5</v>
      </c>
      <c r="B182">
        <v>0.156146703</v>
      </c>
      <c r="C182">
        <v>-1.1927435E-2</v>
      </c>
      <c r="D182">
        <v>-8.8413780000000004E-3</v>
      </c>
      <c r="E182">
        <v>4.1199999999999999E-5</v>
      </c>
      <c r="F182">
        <v>0.13541908999999999</v>
      </c>
      <c r="G182">
        <v>284.44942132824599</v>
      </c>
    </row>
    <row r="183" spans="1:7" x14ac:dyDescent="0.3">
      <c r="A183">
        <v>1180.5</v>
      </c>
      <c r="B183">
        <v>0.15660697000000001</v>
      </c>
      <c r="C183">
        <v>-1.2001701E-2</v>
      </c>
      <c r="D183">
        <v>-8.8569110000000003E-3</v>
      </c>
      <c r="E183">
        <v>4.1199999999999999E-5</v>
      </c>
      <c r="F183">
        <v>0.135789558</v>
      </c>
      <c r="G183">
        <v>284.469591700438</v>
      </c>
    </row>
    <row r="184" spans="1:7" x14ac:dyDescent="0.3">
      <c r="A184">
        <v>1181.5</v>
      </c>
      <c r="B184">
        <v>0.15706719899999999</v>
      </c>
      <c r="C184">
        <v>-1.2091635E-2</v>
      </c>
      <c r="D184">
        <v>-8.8709010000000005E-3</v>
      </c>
      <c r="E184">
        <v>4.1199999999999999E-5</v>
      </c>
      <c r="F184">
        <v>0.13614586300000001</v>
      </c>
      <c r="G184">
        <v>284.48899234710001</v>
      </c>
    </row>
    <row r="185" spans="1:7" x14ac:dyDescent="0.3">
      <c r="A185">
        <v>1182.5</v>
      </c>
      <c r="B185">
        <v>0.15743407700000001</v>
      </c>
      <c r="C185">
        <v>-1.2197163E-2</v>
      </c>
      <c r="D185">
        <v>-8.8849020000000001E-3</v>
      </c>
      <c r="E185">
        <v>4.1199999999999999E-5</v>
      </c>
      <c r="F185">
        <v>0.13639321199999999</v>
      </c>
      <c r="G185">
        <v>284.50246084973298</v>
      </c>
    </row>
    <row r="186" spans="1:7" x14ac:dyDescent="0.3">
      <c r="A186">
        <v>1183.5</v>
      </c>
      <c r="B186">
        <v>0.157893324</v>
      </c>
      <c r="C186">
        <v>-1.2318331E-2</v>
      </c>
      <c r="D186">
        <v>-8.8987340000000002E-3</v>
      </c>
      <c r="E186">
        <v>4.1199999999999999E-5</v>
      </c>
      <c r="F186">
        <v>0.13671745900000001</v>
      </c>
      <c r="G186">
        <v>284.52011771000798</v>
      </c>
    </row>
    <row r="187" spans="1:7" x14ac:dyDescent="0.3">
      <c r="A187">
        <v>1184.5</v>
      </c>
      <c r="B187">
        <v>0.15835344800000001</v>
      </c>
      <c r="C187">
        <v>-1.2455180999999999E-2</v>
      </c>
      <c r="D187">
        <v>-8.9108490000000002E-3</v>
      </c>
      <c r="E187">
        <v>4.1199999999999999E-5</v>
      </c>
      <c r="F187">
        <v>0.13702861799999999</v>
      </c>
      <c r="G187">
        <v>284.53706280680899</v>
      </c>
    </row>
    <row r="188" spans="1:7" x14ac:dyDescent="0.3">
      <c r="A188">
        <v>1185.5</v>
      </c>
      <c r="B188">
        <v>0.158721157</v>
      </c>
      <c r="C188">
        <v>-1.2611648E-2</v>
      </c>
      <c r="D188">
        <v>-8.9229770000000003E-3</v>
      </c>
      <c r="E188">
        <v>4.1199999999999999E-5</v>
      </c>
      <c r="F188">
        <v>0.13722773199999999</v>
      </c>
      <c r="G188">
        <v>284.547906469346</v>
      </c>
    </row>
    <row r="189" spans="1:7" x14ac:dyDescent="0.3">
      <c r="A189">
        <v>1186.5</v>
      </c>
      <c r="B189">
        <v>0.15908792799999999</v>
      </c>
      <c r="C189">
        <v>-1.2783775000000001E-2</v>
      </c>
      <c r="D189">
        <v>-8.9368380000000008E-3</v>
      </c>
      <c r="E189">
        <v>4.1199999999999999E-5</v>
      </c>
      <c r="F189">
        <v>0.13740851499999998</v>
      </c>
      <c r="G189">
        <v>284.55775212973202</v>
      </c>
    </row>
    <row r="190" spans="1:7" x14ac:dyDescent="0.3">
      <c r="A190">
        <v>1187.5</v>
      </c>
      <c r="B190">
        <v>0.15936322</v>
      </c>
      <c r="C190">
        <v>-1.2971531999999999E-2</v>
      </c>
      <c r="D190">
        <v>-8.9489860000000008E-3</v>
      </c>
      <c r="E190">
        <v>4.1199999999999999E-5</v>
      </c>
      <c r="F190">
        <v>0.13748390199999999</v>
      </c>
      <c r="G190">
        <v>284.56185775100101</v>
      </c>
    </row>
    <row r="191" spans="1:7" x14ac:dyDescent="0.3">
      <c r="A191">
        <v>1188.5</v>
      </c>
      <c r="B191">
        <v>0.15963941300000001</v>
      </c>
      <c r="C191">
        <v>-1.3175004000000001E-2</v>
      </c>
      <c r="D191">
        <v>-8.9594170000000008E-3</v>
      </c>
      <c r="E191">
        <v>4.1199999999999999E-5</v>
      </c>
      <c r="F191">
        <v>0.13754619200000001</v>
      </c>
      <c r="G191">
        <v>284.56525009091098</v>
      </c>
    </row>
    <row r="192" spans="1:7" x14ac:dyDescent="0.3">
      <c r="A192">
        <v>1189.5</v>
      </c>
      <c r="B192">
        <v>0.159914679</v>
      </c>
      <c r="C192">
        <v>-1.3394164E-2</v>
      </c>
      <c r="D192">
        <v>-8.9717519999999995E-3</v>
      </c>
      <c r="E192">
        <v>4.1199999999999999E-5</v>
      </c>
      <c r="F192">
        <v>0.13758996300000001</v>
      </c>
      <c r="G192">
        <v>284.56763374038599</v>
      </c>
    </row>
    <row r="193" spans="1:7" x14ac:dyDescent="0.3">
      <c r="A193">
        <v>1190.5</v>
      </c>
      <c r="B193">
        <v>0.16009848900000001</v>
      </c>
      <c r="C193">
        <v>-1.3632953999999999E-2</v>
      </c>
      <c r="D193">
        <v>-8.9841009999999995E-3</v>
      </c>
      <c r="E193">
        <v>4.1199999999999999E-5</v>
      </c>
      <c r="F193">
        <v>0.137522634</v>
      </c>
      <c r="G193">
        <v>284.56396635886301</v>
      </c>
    </row>
    <row r="194" spans="1:7" x14ac:dyDescent="0.3">
      <c r="A194">
        <v>1191.5</v>
      </c>
      <c r="B194">
        <v>0.16019085199999999</v>
      </c>
      <c r="C194">
        <v>-1.3891386E-2</v>
      </c>
      <c r="D194">
        <v>-8.9945670000000002E-3</v>
      </c>
      <c r="E194">
        <v>4.1199999999999999E-5</v>
      </c>
      <c r="F194">
        <v>0.13734609899999997</v>
      </c>
      <c r="G194">
        <v>284.554351204478</v>
      </c>
    </row>
    <row r="195" spans="1:7" x14ac:dyDescent="0.3">
      <c r="A195">
        <v>1192.5</v>
      </c>
      <c r="B195">
        <v>0.16028229899999999</v>
      </c>
      <c r="C195">
        <v>-1.4165544E-2</v>
      </c>
      <c r="D195">
        <v>-9.0050400000000006E-3</v>
      </c>
      <c r="E195">
        <v>4.1199999999999999E-5</v>
      </c>
      <c r="F195">
        <v>0.13715291499999999</v>
      </c>
      <c r="G195">
        <v>284.543829588037</v>
      </c>
    </row>
    <row r="196" spans="1:7" x14ac:dyDescent="0.3">
      <c r="A196">
        <v>1193.5</v>
      </c>
      <c r="B196">
        <v>0.16028230500000001</v>
      </c>
      <c r="C196">
        <v>-1.4459413000000001E-2</v>
      </c>
      <c r="D196">
        <v>-9.0155280000000001E-3</v>
      </c>
      <c r="E196">
        <v>4.1199999999999999E-5</v>
      </c>
      <c r="F196">
        <v>0.13684856400000001</v>
      </c>
      <c r="G196">
        <v>284.527254288753</v>
      </c>
    </row>
    <row r="197" spans="1:7" x14ac:dyDescent="0.3">
      <c r="A197">
        <v>1194.5</v>
      </c>
      <c r="B197">
        <v>0.16019086900000001</v>
      </c>
      <c r="C197">
        <v>-1.4772936E-2</v>
      </c>
      <c r="D197">
        <v>-9.0243040000000004E-3</v>
      </c>
      <c r="E197">
        <v>4.1199999999999999E-5</v>
      </c>
      <c r="F197">
        <v>0.13643482899999998</v>
      </c>
      <c r="G197">
        <v>284.50472341421198</v>
      </c>
    </row>
    <row r="198" spans="1:7" x14ac:dyDescent="0.3">
      <c r="A198">
        <v>1195.5</v>
      </c>
      <c r="B198">
        <v>0.160098517</v>
      </c>
      <c r="C198">
        <v>-1.5102231000000001E-2</v>
      </c>
      <c r="D198">
        <v>-9.0330879999999999E-3</v>
      </c>
      <c r="E198">
        <v>4.1199999999999999E-5</v>
      </c>
      <c r="F198">
        <v>0.136004398</v>
      </c>
      <c r="G198">
        <v>284.48128501031999</v>
      </c>
    </row>
    <row r="199" spans="1:7" x14ac:dyDescent="0.3">
      <c r="A199">
        <v>1196.5</v>
      </c>
      <c r="B199">
        <v>0.159822359</v>
      </c>
      <c r="C199">
        <v>-1.5451255000000001E-2</v>
      </c>
      <c r="D199">
        <v>-9.0436140000000002E-3</v>
      </c>
      <c r="E199">
        <v>4.1199999999999999E-5</v>
      </c>
      <c r="F199">
        <v>0.13536868999999999</v>
      </c>
      <c r="G199">
        <v>284.44667184359997</v>
      </c>
    </row>
    <row r="200" spans="1:7" x14ac:dyDescent="0.3">
      <c r="A200">
        <v>1197.5</v>
      </c>
      <c r="B200">
        <v>0.15945473399999999</v>
      </c>
      <c r="C200">
        <v>-1.5820028999999999E-2</v>
      </c>
      <c r="D200">
        <v>-9.0541549999999995E-3</v>
      </c>
      <c r="E200">
        <v>4.1199999999999999E-5</v>
      </c>
      <c r="F200">
        <v>0.13462174999999996</v>
      </c>
      <c r="G200">
        <v>284.40600745421301</v>
      </c>
    </row>
    <row r="201" spans="1:7" x14ac:dyDescent="0.3">
      <c r="A201">
        <v>1198.5</v>
      </c>
      <c r="B201">
        <v>0.15908799900000001</v>
      </c>
      <c r="C201">
        <v>-1.6208573E-2</v>
      </c>
      <c r="D201">
        <v>-9.06298E-3</v>
      </c>
      <c r="E201">
        <v>4.1199999999999999E-5</v>
      </c>
      <c r="F201">
        <v>0.133857646</v>
      </c>
      <c r="G201">
        <v>284.36441409678901</v>
      </c>
    </row>
    <row r="202" spans="1:7" x14ac:dyDescent="0.3">
      <c r="A202">
        <v>1199.5</v>
      </c>
      <c r="B202">
        <v>0.15862886100000001</v>
      </c>
      <c r="C202">
        <v>-1.6616913000000001E-2</v>
      </c>
      <c r="D202">
        <v>-9.0719919999999992E-3</v>
      </c>
      <c r="E202">
        <v>4.1199999999999999E-5</v>
      </c>
      <c r="F202">
        <v>0.13298115599999999</v>
      </c>
      <c r="G202">
        <v>284.31671001828403</v>
      </c>
    </row>
    <row r="203" spans="1:7" x14ac:dyDescent="0.3">
      <c r="A203">
        <v>1200.5</v>
      </c>
      <c r="B203">
        <v>0.15798490500000001</v>
      </c>
      <c r="C203">
        <v>-1.7041166E-2</v>
      </c>
      <c r="D203">
        <v>-9.0810200000000004E-3</v>
      </c>
      <c r="E203">
        <v>4.1199999999999999E-5</v>
      </c>
      <c r="F203">
        <v>0.13190391900000001</v>
      </c>
      <c r="G203">
        <v>284.25809013894798</v>
      </c>
    </row>
    <row r="204" spans="1:7" x14ac:dyDescent="0.3">
      <c r="A204">
        <v>1201.5</v>
      </c>
      <c r="B204">
        <v>0.15725030200000001</v>
      </c>
      <c r="C204">
        <v>-1.7489168999999999E-2</v>
      </c>
      <c r="D204">
        <v>-9.0881669999999994E-3</v>
      </c>
      <c r="E204">
        <v>4.1199999999999999E-5</v>
      </c>
      <c r="F204">
        <v>0.13071416599999999</v>
      </c>
      <c r="G204">
        <v>284.193360465642</v>
      </c>
    </row>
    <row r="205" spans="1:7" x14ac:dyDescent="0.3">
      <c r="A205">
        <v>1202.5</v>
      </c>
      <c r="B205">
        <v>0.15642318899999999</v>
      </c>
      <c r="C205">
        <v>-1.7957008999999999E-2</v>
      </c>
      <c r="D205">
        <v>-9.0970519999999996E-3</v>
      </c>
      <c r="E205">
        <v>4.1199999999999999E-5</v>
      </c>
      <c r="F205">
        <v>0.12941032799999999</v>
      </c>
      <c r="G205">
        <v>284.12243937403798</v>
      </c>
    </row>
    <row r="206" spans="1:7" x14ac:dyDescent="0.3">
      <c r="A206">
        <v>1203.5</v>
      </c>
      <c r="B206">
        <v>0.155503525</v>
      </c>
      <c r="C206">
        <v>-1.8436887999999998E-2</v>
      </c>
      <c r="D206">
        <v>-9.1059480000000009E-3</v>
      </c>
      <c r="E206">
        <v>4.1199999999999999E-5</v>
      </c>
      <c r="F206">
        <v>0.12800188899999998</v>
      </c>
      <c r="G206">
        <v>284.045846871072</v>
      </c>
    </row>
    <row r="207" spans="1:7" x14ac:dyDescent="0.3">
      <c r="A207">
        <v>1204.5</v>
      </c>
      <c r="B207">
        <v>0.154584627</v>
      </c>
      <c r="C207">
        <v>-1.8936689999999999E-2</v>
      </c>
      <c r="D207">
        <v>-9.1131279999999999E-3</v>
      </c>
      <c r="E207">
        <v>4.1199999999999999E-5</v>
      </c>
      <c r="F207">
        <v>0.12657600899999999</v>
      </c>
      <c r="G207">
        <v>283.96832517982199</v>
      </c>
    </row>
    <row r="208" spans="1:7" x14ac:dyDescent="0.3">
      <c r="A208">
        <v>1205.5</v>
      </c>
      <c r="B208">
        <v>0.15357311800000001</v>
      </c>
      <c r="C208">
        <v>-1.9452491999999998E-2</v>
      </c>
      <c r="D208">
        <v>-9.1203210000000007E-3</v>
      </c>
      <c r="E208">
        <v>4.1199999999999999E-5</v>
      </c>
      <c r="F208">
        <v>0.12504150500000002</v>
      </c>
      <c r="G208">
        <v>283.88491962051802</v>
      </c>
    </row>
    <row r="209" spans="1:7" x14ac:dyDescent="0.3">
      <c r="A209">
        <v>1206.5</v>
      </c>
      <c r="B209">
        <v>0.15256143</v>
      </c>
      <c r="C209">
        <v>-1.9980439999999999E-2</v>
      </c>
      <c r="D209">
        <v>-9.1275200000000001E-3</v>
      </c>
      <c r="E209">
        <v>4.1199999999999999E-5</v>
      </c>
      <c r="F209">
        <v>0.12349467</v>
      </c>
      <c r="G209">
        <v>283.80086656418803</v>
      </c>
    </row>
    <row r="210" spans="1:7" x14ac:dyDescent="0.3">
      <c r="A210">
        <v>1207.5</v>
      </c>
      <c r="B210">
        <v>0.15145798099999999</v>
      </c>
      <c r="C210">
        <v>-2.0524435000000001E-2</v>
      </c>
      <c r="D210">
        <v>-9.1347319999999996E-3</v>
      </c>
      <c r="E210">
        <v>4.1199999999999999E-5</v>
      </c>
      <c r="F210">
        <v>0.12184001399999997</v>
      </c>
      <c r="G210">
        <v>283.71097997268703</v>
      </c>
    </row>
    <row r="211" spans="1:7" x14ac:dyDescent="0.3">
      <c r="A211">
        <v>1208.5</v>
      </c>
      <c r="B211">
        <v>0.150261802</v>
      </c>
      <c r="C211">
        <v>-2.1076581E-2</v>
      </c>
      <c r="D211">
        <v>-9.1419510000000006E-3</v>
      </c>
      <c r="E211">
        <v>4.1199999999999999E-5</v>
      </c>
      <c r="F211">
        <v>0.12008446999999998</v>
      </c>
      <c r="G211">
        <v>283.61564126074802</v>
      </c>
    </row>
    <row r="212" spans="1:7" x14ac:dyDescent="0.3">
      <c r="A212">
        <v>1209.5</v>
      </c>
      <c r="B212">
        <v>0.14915790800000001</v>
      </c>
      <c r="C212">
        <v>-2.1636969999999998E-2</v>
      </c>
      <c r="D212">
        <v>-9.1491720000000006E-3</v>
      </c>
      <c r="E212">
        <v>4.1199999999999999E-5</v>
      </c>
      <c r="F212">
        <v>0.11841296599999999</v>
      </c>
      <c r="G212">
        <v>283.52489393093902</v>
      </c>
    </row>
    <row r="213" spans="1:7" x14ac:dyDescent="0.3">
      <c r="A213">
        <v>1210.5</v>
      </c>
      <c r="B213">
        <v>0.14805380000000001</v>
      </c>
      <c r="C213">
        <v>-2.2209543000000002E-2</v>
      </c>
      <c r="D213">
        <v>-9.1563979999999996E-3</v>
      </c>
      <c r="E213">
        <v>4.1199999999999999E-5</v>
      </c>
      <c r="F213">
        <v>0.11672905900000001</v>
      </c>
      <c r="G213">
        <v>283.43350009319403</v>
      </c>
    </row>
    <row r="214" spans="1:7" x14ac:dyDescent="0.3">
      <c r="A214">
        <v>1211.5</v>
      </c>
      <c r="B214">
        <v>0.14685690700000001</v>
      </c>
      <c r="C214">
        <v>-2.2790314999999998E-2</v>
      </c>
      <c r="D214">
        <v>-9.1636329999999992E-3</v>
      </c>
      <c r="E214">
        <v>4.1199999999999999E-5</v>
      </c>
      <c r="F214">
        <v>0.11494415899999999</v>
      </c>
      <c r="G214">
        <v>283.33665441057701</v>
      </c>
    </row>
    <row r="215" spans="1:7" x14ac:dyDescent="0.3">
      <c r="A215">
        <v>1212.5</v>
      </c>
      <c r="B215">
        <v>0.145659762</v>
      </c>
      <c r="C215">
        <v>-2.3375406000000001E-2</v>
      </c>
      <c r="D215">
        <v>-9.1710430000000003E-3</v>
      </c>
      <c r="E215">
        <v>4.1199999999999999E-5</v>
      </c>
      <c r="F215">
        <v>0.11315451299999998</v>
      </c>
      <c r="G215">
        <v>283.23958168392699</v>
      </c>
    </row>
    <row r="216" spans="1:7" x14ac:dyDescent="0.3">
      <c r="A216">
        <v>1213.5</v>
      </c>
      <c r="B216">
        <v>0.14455406000000001</v>
      </c>
      <c r="C216">
        <v>-2.3964824999999999E-2</v>
      </c>
      <c r="D216">
        <v>-9.1784520000000001E-3</v>
      </c>
      <c r="E216">
        <v>4.1199999999999999E-5</v>
      </c>
      <c r="F216">
        <v>0.111451983</v>
      </c>
      <c r="G216">
        <v>283.14726255496498</v>
      </c>
    </row>
    <row r="217" spans="1:7" x14ac:dyDescent="0.3">
      <c r="A217">
        <v>1214.5</v>
      </c>
      <c r="B217">
        <v>0.14344905899999999</v>
      </c>
      <c r="C217">
        <v>-2.455854E-2</v>
      </c>
      <c r="D217">
        <v>-9.1856909999999993E-3</v>
      </c>
      <c r="E217">
        <v>4.1199999999999999E-5</v>
      </c>
      <c r="F217">
        <v>0.10974602799999998</v>
      </c>
      <c r="G217">
        <v>283.05478545413803</v>
      </c>
    </row>
    <row r="218" spans="1:7" x14ac:dyDescent="0.3">
      <c r="A218">
        <v>1215.5</v>
      </c>
      <c r="B218">
        <v>0.142343844</v>
      </c>
      <c r="C218">
        <v>-2.5152620000000001E-2</v>
      </c>
      <c r="D218">
        <v>-9.1929300000000002E-3</v>
      </c>
      <c r="E218">
        <v>4.1199999999999999E-5</v>
      </c>
      <c r="F218">
        <v>0.10803949399999999</v>
      </c>
      <c r="G218">
        <v>282.962304645301</v>
      </c>
    </row>
    <row r="219" spans="1:7" x14ac:dyDescent="0.3">
      <c r="A219">
        <v>1216.5</v>
      </c>
      <c r="B219">
        <v>0.14123749799999999</v>
      </c>
      <c r="C219">
        <v>-2.5747104E-2</v>
      </c>
      <c r="D219">
        <v>-9.2001700000000006E-3</v>
      </c>
      <c r="E219">
        <v>4.1199999999999999E-5</v>
      </c>
      <c r="F219">
        <v>0.10633142399999998</v>
      </c>
      <c r="G219">
        <v>282.86976831903098</v>
      </c>
    </row>
    <row r="220" spans="1:7" x14ac:dyDescent="0.3">
      <c r="A220">
        <v>1217.5</v>
      </c>
      <c r="B220">
        <v>0.140131853</v>
      </c>
      <c r="C220">
        <v>-2.6341953000000001E-2</v>
      </c>
      <c r="D220">
        <v>-9.2056849999999999E-3</v>
      </c>
      <c r="E220">
        <v>4.1199999999999999E-5</v>
      </c>
      <c r="F220">
        <v>0.10462541499999999</v>
      </c>
      <c r="G220">
        <v>282.77737148014199</v>
      </c>
    </row>
    <row r="221" spans="1:7" x14ac:dyDescent="0.3">
      <c r="A221">
        <v>1218.5</v>
      </c>
      <c r="B221">
        <v>0.13902599400000001</v>
      </c>
      <c r="C221">
        <v>-2.6933144999999999E-2</v>
      </c>
      <c r="D221">
        <v>-9.2111980000000003E-3</v>
      </c>
      <c r="E221">
        <v>4.1199999999999999E-5</v>
      </c>
      <c r="F221">
        <v>0.10292285100000001</v>
      </c>
      <c r="G221">
        <v>282.68518879618398</v>
      </c>
    </row>
    <row r="222" spans="1:7" x14ac:dyDescent="0.3">
      <c r="A222">
        <v>1219.5</v>
      </c>
      <c r="B222">
        <v>0.138011719</v>
      </c>
      <c r="C222">
        <v>-2.7520749000000001E-2</v>
      </c>
      <c r="D222">
        <v>-9.2167059999999999E-3</v>
      </c>
      <c r="E222">
        <v>4.1199999999999999E-5</v>
      </c>
      <c r="F222">
        <v>0.10131546399999999</v>
      </c>
      <c r="G222">
        <v>282.59818459386901</v>
      </c>
    </row>
    <row r="223" spans="1:7" x14ac:dyDescent="0.3">
      <c r="A223">
        <v>1220.5</v>
      </c>
      <c r="B223">
        <v>0.13699726300000001</v>
      </c>
      <c r="C223">
        <v>-2.8108749999999998E-2</v>
      </c>
      <c r="D223">
        <v>-9.2222150000000006E-3</v>
      </c>
      <c r="E223">
        <v>4.1199999999999999E-5</v>
      </c>
      <c r="F223">
        <v>9.9707497999999992E-2</v>
      </c>
      <c r="G223">
        <v>282.51117369168998</v>
      </c>
    </row>
    <row r="224" spans="1:7" x14ac:dyDescent="0.3">
      <c r="A224">
        <v>1221.5</v>
      </c>
      <c r="B224">
        <v>0.13598262699999999</v>
      </c>
      <c r="C224">
        <v>-2.8689124999999999E-2</v>
      </c>
      <c r="D224">
        <v>-9.22772E-3</v>
      </c>
      <c r="E224">
        <v>4.1199999999999999E-5</v>
      </c>
      <c r="F224">
        <v>9.8106981999999995E-2</v>
      </c>
      <c r="G224">
        <v>282.424590316354</v>
      </c>
    </row>
    <row r="225" spans="1:7" x14ac:dyDescent="0.3">
      <c r="A225">
        <v>1222.5</v>
      </c>
      <c r="B225">
        <v>0.13496780899999999</v>
      </c>
      <c r="C225">
        <v>-2.9261895999999999E-2</v>
      </c>
      <c r="D225">
        <v>-9.2314949999999993E-3</v>
      </c>
      <c r="E225">
        <v>4.1199999999999999E-5</v>
      </c>
      <c r="F225">
        <v>9.6515617999999997E-2</v>
      </c>
      <c r="G225">
        <v>282.338526184974</v>
      </c>
    </row>
    <row r="226" spans="1:7" x14ac:dyDescent="0.3">
      <c r="A226">
        <v>1223.5</v>
      </c>
      <c r="B226">
        <v>0.133952811</v>
      </c>
      <c r="C226">
        <v>-2.9827052999999999E-2</v>
      </c>
      <c r="D226">
        <v>-9.2369940000000001E-3</v>
      </c>
      <c r="E226">
        <v>4.1199999999999999E-5</v>
      </c>
      <c r="F226">
        <v>9.4929964000000006E-2</v>
      </c>
      <c r="G226">
        <v>282.25279483601201</v>
      </c>
    </row>
    <row r="227" spans="1:7" x14ac:dyDescent="0.3">
      <c r="A227">
        <v>1224.5</v>
      </c>
      <c r="B227">
        <v>0.13303043000000001</v>
      </c>
      <c r="C227">
        <v>-3.0376581E-2</v>
      </c>
      <c r="D227">
        <v>-9.2424810000000003E-3</v>
      </c>
      <c r="E227">
        <v>4.1199999999999999E-5</v>
      </c>
      <c r="F227">
        <v>9.3452568E-2</v>
      </c>
      <c r="G227">
        <v>282.172938101711</v>
      </c>
    </row>
    <row r="228" spans="1:7" x14ac:dyDescent="0.3">
      <c r="A228">
        <v>1225.5</v>
      </c>
      <c r="B228">
        <v>0.132107898</v>
      </c>
      <c r="C228">
        <v>-3.0918456E-2</v>
      </c>
      <c r="D228">
        <v>-9.2462380000000004E-3</v>
      </c>
      <c r="E228">
        <v>4.1199999999999999E-5</v>
      </c>
      <c r="F228">
        <v>9.1984403999999992E-2</v>
      </c>
      <c r="G228">
        <v>282.093600986014</v>
      </c>
    </row>
    <row r="229" spans="1:7" x14ac:dyDescent="0.3">
      <c r="A229">
        <v>1226.5</v>
      </c>
      <c r="B229">
        <v>0.131184299</v>
      </c>
      <c r="C229">
        <v>-3.1448702000000002E-2</v>
      </c>
      <c r="D229">
        <v>-9.2499890000000001E-3</v>
      </c>
      <c r="E229">
        <v>4.1199999999999999E-5</v>
      </c>
      <c r="F229">
        <v>9.0526808E-2</v>
      </c>
      <c r="G229">
        <v>282.01485513071901</v>
      </c>
    </row>
    <row r="230" spans="1:7" x14ac:dyDescent="0.3">
      <c r="A230">
        <v>1227.5</v>
      </c>
      <c r="B230">
        <v>0.130260548</v>
      </c>
      <c r="C230">
        <v>-3.1963289999999998E-2</v>
      </c>
      <c r="D230">
        <v>-9.2520069999999996E-3</v>
      </c>
      <c r="E230">
        <v>4.1199999999999999E-5</v>
      </c>
      <c r="F230">
        <v>8.9086450999999983E-2</v>
      </c>
      <c r="G230">
        <v>281.93706053368498</v>
      </c>
    </row>
    <row r="231" spans="1:7" x14ac:dyDescent="0.3">
      <c r="A231">
        <v>1228.5</v>
      </c>
      <c r="B231">
        <v>0.129429505</v>
      </c>
      <c r="C231">
        <v>-3.2462158999999997E-2</v>
      </c>
      <c r="D231">
        <v>-9.2540130000000002E-3</v>
      </c>
      <c r="E231">
        <v>4.1199999999999999E-5</v>
      </c>
      <c r="F231">
        <v>8.7754532999999996E-2</v>
      </c>
      <c r="G231">
        <v>281.86514027465199</v>
      </c>
    </row>
    <row r="232" spans="1:7" x14ac:dyDescent="0.3">
      <c r="A232">
        <v>1229.5</v>
      </c>
      <c r="B232">
        <v>0.128691208</v>
      </c>
      <c r="C232">
        <v>-3.2945283999999998E-2</v>
      </c>
      <c r="D232">
        <v>-9.2560070000000001E-3</v>
      </c>
      <c r="E232">
        <v>4.1199999999999999E-5</v>
      </c>
      <c r="F232">
        <v>8.6531117000000005E-2</v>
      </c>
      <c r="G232">
        <v>281.79909375325298</v>
      </c>
    </row>
    <row r="233" spans="1:7" x14ac:dyDescent="0.3">
      <c r="A233">
        <v>1230.5</v>
      </c>
      <c r="B233">
        <v>0.12785993600000001</v>
      </c>
      <c r="C233">
        <v>-3.3412679000000001E-2</v>
      </c>
      <c r="D233">
        <v>-9.2579979999999999E-3</v>
      </c>
      <c r="E233">
        <v>4.1199999999999999E-5</v>
      </c>
      <c r="F233">
        <v>8.5230458999999995E-2</v>
      </c>
      <c r="G233">
        <v>281.72889277154098</v>
      </c>
    </row>
    <row r="234" spans="1:7" x14ac:dyDescent="0.3">
      <c r="A234">
        <v>1231.5</v>
      </c>
      <c r="B234">
        <v>0.12702854199999999</v>
      </c>
      <c r="C234">
        <v>-3.3856333000000002E-2</v>
      </c>
      <c r="D234">
        <v>-9.2599770000000008E-3</v>
      </c>
      <c r="E234">
        <v>4.1199999999999999E-5</v>
      </c>
      <c r="F234">
        <v>8.3953431999999981E-2</v>
      </c>
      <c r="G234">
        <v>281.65998289382202</v>
      </c>
    </row>
    <row r="235" spans="1:7" x14ac:dyDescent="0.3">
      <c r="A235">
        <v>1232.5</v>
      </c>
      <c r="B235">
        <v>0.12628993399999999</v>
      </c>
      <c r="C235">
        <v>-3.4280186999999997E-2</v>
      </c>
      <c r="D235">
        <v>-9.2602159999999999E-3</v>
      </c>
      <c r="E235">
        <v>4.1199999999999999E-5</v>
      </c>
      <c r="F235">
        <v>8.2790730999999992E-2</v>
      </c>
      <c r="G235">
        <v>281.59725562727601</v>
      </c>
    </row>
    <row r="236" spans="1:7" x14ac:dyDescent="0.3">
      <c r="A236">
        <v>1233.5</v>
      </c>
      <c r="B236">
        <v>0.125643228</v>
      </c>
      <c r="C236">
        <v>-3.4684218000000003E-2</v>
      </c>
      <c r="D236">
        <v>-9.2604409999999995E-3</v>
      </c>
      <c r="E236">
        <v>4.1199999999999999E-5</v>
      </c>
      <c r="F236">
        <v>8.173976899999999E-2</v>
      </c>
      <c r="G236">
        <v>281.54056772396598</v>
      </c>
    </row>
    <row r="237" spans="1:7" x14ac:dyDescent="0.3">
      <c r="A237">
        <v>1234.5</v>
      </c>
      <c r="B237">
        <v>0.124996448</v>
      </c>
      <c r="C237">
        <v>-3.5060398999999999E-2</v>
      </c>
      <c r="D237">
        <v>-9.2589260000000007E-3</v>
      </c>
      <c r="E237">
        <v>4.1199999999999999E-5</v>
      </c>
      <c r="F237">
        <v>8.0718322999999981E-2</v>
      </c>
      <c r="G237">
        <v>281.485481980386</v>
      </c>
    </row>
    <row r="238" spans="1:7" x14ac:dyDescent="0.3">
      <c r="A238">
        <v>1235.5</v>
      </c>
      <c r="B238">
        <v>0.12434867400000001</v>
      </c>
      <c r="C238">
        <v>-3.5412719000000002E-2</v>
      </c>
      <c r="D238">
        <v>-9.257398E-3</v>
      </c>
      <c r="E238">
        <v>4.1199999999999999E-5</v>
      </c>
      <c r="F238">
        <v>7.9719757000000002E-2</v>
      </c>
      <c r="G238">
        <v>281.431639622739</v>
      </c>
    </row>
    <row r="239" spans="1:7" x14ac:dyDescent="0.3">
      <c r="A239">
        <v>1236.5</v>
      </c>
      <c r="B239">
        <v>0.12379377499999999</v>
      </c>
      <c r="C239">
        <v>-3.5741112999999998E-2</v>
      </c>
      <c r="D239">
        <v>-9.2558550000000003E-3</v>
      </c>
      <c r="E239">
        <v>4.1199999999999999E-5</v>
      </c>
      <c r="F239">
        <v>7.8838006999999988E-2</v>
      </c>
      <c r="G239">
        <v>281.38410383340698</v>
      </c>
    </row>
    <row r="240" spans="1:7" x14ac:dyDescent="0.3">
      <c r="A240">
        <v>1237.5</v>
      </c>
      <c r="B240">
        <v>0.123239741</v>
      </c>
      <c r="C240">
        <v>-3.6037586000000003E-2</v>
      </c>
      <c r="D240">
        <v>-9.2525699999999999E-3</v>
      </c>
      <c r="E240">
        <v>4.1199999999999999E-5</v>
      </c>
      <c r="F240">
        <v>7.7990784999999993E-2</v>
      </c>
      <c r="G240">
        <v>281.33843650765402</v>
      </c>
    </row>
    <row r="241" spans="1:7" x14ac:dyDescent="0.3">
      <c r="A241">
        <v>1238.5</v>
      </c>
      <c r="B241">
        <v>0.122777699</v>
      </c>
      <c r="C241">
        <v>-3.6306094999999997E-2</v>
      </c>
      <c r="D241">
        <v>-9.2492660000000008E-3</v>
      </c>
      <c r="E241">
        <v>4.1199999999999999E-5</v>
      </c>
      <c r="F241">
        <v>7.7263537999999993E-2</v>
      </c>
      <c r="G241">
        <v>281.29924140067698</v>
      </c>
    </row>
    <row r="242" spans="1:7" x14ac:dyDescent="0.3">
      <c r="A242">
        <v>1239.5</v>
      </c>
      <c r="B242">
        <v>0.122407669</v>
      </c>
      <c r="C242">
        <v>-3.6546579000000003E-2</v>
      </c>
      <c r="D242">
        <v>-9.2459450000000002E-3</v>
      </c>
      <c r="E242">
        <v>4.1199999999999999E-5</v>
      </c>
      <c r="F242">
        <v>7.6656344999999987E-2</v>
      </c>
      <c r="G242">
        <v>281.26652061022799</v>
      </c>
    </row>
    <row r="243" spans="1:7" x14ac:dyDescent="0.3">
      <c r="A243">
        <v>1240.5</v>
      </c>
      <c r="B243">
        <v>0.121945559</v>
      </c>
      <c r="C243">
        <v>-3.6755067000000002E-2</v>
      </c>
      <c r="D243">
        <v>-9.2426120000000007E-3</v>
      </c>
      <c r="E243">
        <v>4.1199999999999999E-5</v>
      </c>
      <c r="F243">
        <v>7.5989079999999987E-2</v>
      </c>
      <c r="G243">
        <v>281.23056654649798</v>
      </c>
    </row>
    <row r="244" spans="1:7" x14ac:dyDescent="0.3">
      <c r="A244">
        <v>1241.5</v>
      </c>
      <c r="B244">
        <v>0.121575474</v>
      </c>
      <c r="C244">
        <v>-3.6927511000000003E-2</v>
      </c>
      <c r="D244">
        <v>-9.2375300000000007E-3</v>
      </c>
      <c r="E244">
        <v>4.1199999999999999E-5</v>
      </c>
      <c r="F244">
        <v>7.545163299999999E-2</v>
      </c>
      <c r="G244">
        <v>281.20161061717403</v>
      </c>
    </row>
    <row r="245" spans="1:7" x14ac:dyDescent="0.3">
      <c r="A245">
        <v>1242.5</v>
      </c>
      <c r="B245">
        <v>0.121297433</v>
      </c>
      <c r="C245">
        <v>-3.7067877999999999E-2</v>
      </c>
      <c r="D245">
        <v>-9.2307020000000004E-3</v>
      </c>
      <c r="E245">
        <v>4.1199999999999999E-5</v>
      </c>
      <c r="F245">
        <v>7.5040052999999995E-2</v>
      </c>
      <c r="G245">
        <v>281.179437880752</v>
      </c>
    </row>
    <row r="246" spans="1:7" x14ac:dyDescent="0.3">
      <c r="A246">
        <v>1243.5</v>
      </c>
      <c r="B246">
        <v>0.1210203</v>
      </c>
      <c r="C246">
        <v>-3.7172167999999998E-2</v>
      </c>
      <c r="D246">
        <v>-9.2238560000000008E-3</v>
      </c>
      <c r="E246">
        <v>4.1199999999999999E-5</v>
      </c>
      <c r="F246">
        <v>7.4665475999999981E-2</v>
      </c>
      <c r="G246">
        <v>281.15925993521699</v>
      </c>
    </row>
    <row r="247" spans="1:7" x14ac:dyDescent="0.3">
      <c r="A247">
        <v>1244.5</v>
      </c>
      <c r="B247">
        <v>0.120835229</v>
      </c>
      <c r="C247">
        <v>-3.723634E-2</v>
      </c>
      <c r="D247">
        <v>-9.2169859999999999E-3</v>
      </c>
      <c r="E247">
        <v>4.1199999999999999E-5</v>
      </c>
      <c r="F247">
        <v>7.4423103000000004E-2</v>
      </c>
      <c r="G247">
        <v>281.14620434990002</v>
      </c>
    </row>
    <row r="248" spans="1:7" x14ac:dyDescent="0.3">
      <c r="A248">
        <v>1245.5</v>
      </c>
      <c r="B248">
        <v>0.120650151</v>
      </c>
      <c r="C248">
        <v>-3.7264416000000002E-2</v>
      </c>
      <c r="D248">
        <v>-9.2100989999999994E-3</v>
      </c>
      <c r="E248">
        <v>4.1199999999999999E-5</v>
      </c>
      <c r="F248">
        <v>7.421683599999998E-2</v>
      </c>
      <c r="G248">
        <v>281.13509421926699</v>
      </c>
    </row>
    <row r="249" spans="1:7" x14ac:dyDescent="0.3">
      <c r="A249">
        <v>1246.5</v>
      </c>
      <c r="B249">
        <v>0.120465067</v>
      </c>
      <c r="C249">
        <v>-3.7252399999999998E-2</v>
      </c>
      <c r="D249">
        <v>-9.2014650000000007E-3</v>
      </c>
      <c r="E249">
        <v>4.1199999999999999E-5</v>
      </c>
      <c r="F249">
        <v>7.4052401999999976E-2</v>
      </c>
      <c r="G249">
        <v>281.12623758609999</v>
      </c>
    </row>
    <row r="250" spans="1:7" x14ac:dyDescent="0.3">
      <c r="A250">
        <v>1247.5</v>
      </c>
      <c r="B250">
        <v>0.12037206</v>
      </c>
      <c r="C250">
        <v>-3.7196225999999999E-2</v>
      </c>
      <c r="D250">
        <v>-9.1910789999999996E-3</v>
      </c>
      <c r="E250">
        <v>4.1199999999999999E-5</v>
      </c>
      <c r="F250">
        <v>7.4025954999999991E-2</v>
      </c>
      <c r="G250">
        <v>281.12481323022303</v>
      </c>
    </row>
    <row r="251" spans="1:7" x14ac:dyDescent="0.3">
      <c r="A251">
        <v>1248.5</v>
      </c>
      <c r="B251">
        <v>0.12037205600000001</v>
      </c>
      <c r="C251">
        <v>-3.7099933000000002E-2</v>
      </c>
      <c r="D251">
        <v>-9.1804969999999993E-3</v>
      </c>
      <c r="E251">
        <v>4.1199999999999999E-5</v>
      </c>
      <c r="F251">
        <v>7.4132825999999999E-2</v>
      </c>
      <c r="G251">
        <v>281.13056961353101</v>
      </c>
    </row>
    <row r="252" spans="1:7" x14ac:dyDescent="0.3">
      <c r="A252">
        <v>1249.5</v>
      </c>
      <c r="B252">
        <v>0.120465053</v>
      </c>
      <c r="C252">
        <v>-3.6959541999999998E-2</v>
      </c>
      <c r="D252">
        <v>-9.1681620000000005E-3</v>
      </c>
      <c r="E252">
        <v>4.1199999999999999E-5</v>
      </c>
      <c r="F252">
        <v>7.4378548999999988E-2</v>
      </c>
      <c r="G252">
        <v>281.14380520678401</v>
      </c>
    </row>
    <row r="253" spans="1:7" x14ac:dyDescent="0.3">
      <c r="A253">
        <v>1250.5</v>
      </c>
      <c r="B253">
        <v>0.120650128</v>
      </c>
      <c r="C253">
        <v>-3.6771049E-2</v>
      </c>
      <c r="D253">
        <v>-9.1559729999999995E-3</v>
      </c>
      <c r="E253">
        <v>4.1199999999999999E-5</v>
      </c>
      <c r="F253">
        <v>7.4764305999999989E-2</v>
      </c>
      <c r="G253">
        <v>281.16458465277202</v>
      </c>
    </row>
    <row r="254" spans="1:7" x14ac:dyDescent="0.3">
      <c r="A254">
        <v>1251.5</v>
      </c>
      <c r="B254">
        <v>0.12083519700000001</v>
      </c>
      <c r="C254">
        <v>-3.6538466999999998E-2</v>
      </c>
      <c r="D254">
        <v>-9.1437640000000004E-3</v>
      </c>
      <c r="E254">
        <v>4.1199999999999999E-5</v>
      </c>
      <c r="F254">
        <v>7.5194166000000007E-2</v>
      </c>
      <c r="G254">
        <v>281.18774141545902</v>
      </c>
    </row>
    <row r="255" spans="1:7" x14ac:dyDescent="0.3">
      <c r="A255">
        <v>1252.5</v>
      </c>
      <c r="B255">
        <v>0.12102025800000001</v>
      </c>
      <c r="C255">
        <v>-3.6253855000000001E-2</v>
      </c>
      <c r="D255">
        <v>-9.1280749999999994E-3</v>
      </c>
      <c r="E255">
        <v>4.1199999999999999E-5</v>
      </c>
      <c r="F255">
        <v>7.5679527999999996E-2</v>
      </c>
      <c r="G255">
        <v>281.213890177856</v>
      </c>
    </row>
    <row r="256" spans="1:7" x14ac:dyDescent="0.3">
      <c r="A256">
        <v>1253.5</v>
      </c>
      <c r="B256">
        <v>0.12111232299999999</v>
      </c>
      <c r="C256">
        <v>-3.5901250000000003E-2</v>
      </c>
      <c r="D256">
        <v>-9.1123590000000004E-3</v>
      </c>
      <c r="E256">
        <v>4.1199999999999999E-5</v>
      </c>
      <c r="F256">
        <v>7.6139913999999989E-2</v>
      </c>
      <c r="G256">
        <v>281.23869546990301</v>
      </c>
    </row>
    <row r="257" spans="1:7" x14ac:dyDescent="0.3">
      <c r="A257">
        <v>1254.5</v>
      </c>
      <c r="B257">
        <v>0.121112316</v>
      </c>
      <c r="C257">
        <v>-3.5444614999999999E-2</v>
      </c>
      <c r="D257">
        <v>-9.0965990000000004E-3</v>
      </c>
      <c r="E257">
        <v>4.1199999999999999E-5</v>
      </c>
      <c r="F257">
        <v>7.6612301999999993E-2</v>
      </c>
      <c r="G257">
        <v>281.26414954520197</v>
      </c>
    </row>
    <row r="258" spans="1:7" x14ac:dyDescent="0.3">
      <c r="A258">
        <v>1255.5</v>
      </c>
      <c r="B258">
        <v>0.121020237</v>
      </c>
      <c r="C258">
        <v>-3.4836110000000003E-2</v>
      </c>
      <c r="D258">
        <v>-9.0788710000000005E-3</v>
      </c>
      <c r="E258">
        <v>4.1199999999999999E-5</v>
      </c>
      <c r="F258">
        <v>7.7146455999999988E-2</v>
      </c>
      <c r="G258">
        <v>281.29293429064199</v>
      </c>
    </row>
    <row r="259" spans="1:7" x14ac:dyDescent="0.3">
      <c r="A259">
        <v>1256.5</v>
      </c>
      <c r="B259">
        <v>0.120743084</v>
      </c>
      <c r="C259">
        <v>-3.4024062000000001E-2</v>
      </c>
      <c r="D259">
        <v>-9.0593289999999996E-3</v>
      </c>
      <c r="E259">
        <v>4.1199999999999999E-5</v>
      </c>
      <c r="F259">
        <v>7.7700892999999993E-2</v>
      </c>
      <c r="G259">
        <v>281.32281499583701</v>
      </c>
    </row>
    <row r="260" spans="1:7" x14ac:dyDescent="0.3">
      <c r="A260">
        <v>1257.5</v>
      </c>
      <c r="B260">
        <v>0.12009574100000001</v>
      </c>
      <c r="C260">
        <v>-3.2993024000000003E-2</v>
      </c>
      <c r="D260">
        <v>-9.0398749999999993E-3</v>
      </c>
      <c r="E260">
        <v>4.1199999999999999E-5</v>
      </c>
      <c r="F260">
        <v>7.8104041999999985E-2</v>
      </c>
      <c r="G260">
        <v>281.344544134675</v>
      </c>
    </row>
    <row r="261" spans="1:7" x14ac:dyDescent="0.3">
      <c r="A261">
        <v>1258.5</v>
      </c>
      <c r="B261">
        <v>0.119078079</v>
      </c>
      <c r="C261">
        <v>-3.1787527000000003E-2</v>
      </c>
      <c r="D261">
        <v>-9.0203550000000007E-3</v>
      </c>
      <c r="E261">
        <v>4.1199999999999999E-5</v>
      </c>
      <c r="F261">
        <v>7.8311396999999977E-2</v>
      </c>
      <c r="G261">
        <v>281.35572097120303</v>
      </c>
    </row>
    <row r="262" spans="1:7" x14ac:dyDescent="0.3">
      <c r="A262">
        <v>1259.5</v>
      </c>
      <c r="B262">
        <v>0.1176899</v>
      </c>
      <c r="C262">
        <v>-3.0483914000000001E-2</v>
      </c>
      <c r="D262">
        <v>-8.9973559999999998E-3</v>
      </c>
      <c r="E262">
        <v>4.1199999999999999E-5</v>
      </c>
      <c r="F262">
        <v>7.8249829999999992E-2</v>
      </c>
      <c r="G262">
        <v>281.352402780744</v>
      </c>
    </row>
    <row r="263" spans="1:7" x14ac:dyDescent="0.3">
      <c r="A263">
        <v>1260.5</v>
      </c>
      <c r="B263">
        <v>0.11574662099999999</v>
      </c>
      <c r="C263">
        <v>-2.9170158000000002E-2</v>
      </c>
      <c r="D263">
        <v>-8.9742060000000002E-3</v>
      </c>
      <c r="E263">
        <v>4.1199999999999999E-5</v>
      </c>
      <c r="F263">
        <v>7.7643456999999985E-2</v>
      </c>
      <c r="G263">
        <v>281.31972076908397</v>
      </c>
    </row>
    <row r="264" spans="1:7" x14ac:dyDescent="0.3">
      <c r="A264">
        <v>1261.5</v>
      </c>
      <c r="B264">
        <v>0.11333895099999999</v>
      </c>
      <c r="C264">
        <v>-2.7909861000000001E-2</v>
      </c>
      <c r="D264">
        <v>-8.9511030000000002E-3</v>
      </c>
      <c r="E264">
        <v>4.1199999999999999E-5</v>
      </c>
      <c r="F264">
        <v>7.6519186999999975E-2</v>
      </c>
      <c r="G264">
        <v>281.25913417311102</v>
      </c>
    </row>
    <row r="265" spans="1:7" x14ac:dyDescent="0.3">
      <c r="A265">
        <v>1262.5</v>
      </c>
      <c r="B265">
        <v>0.110467221</v>
      </c>
      <c r="C265">
        <v>-2.6718670999999999E-2</v>
      </c>
      <c r="D265">
        <v>-8.9247770000000001E-3</v>
      </c>
      <c r="E265">
        <v>4.1199999999999999E-5</v>
      </c>
      <c r="F265">
        <v>7.4864973000000001E-2</v>
      </c>
      <c r="G265">
        <v>281.17001071589698</v>
      </c>
    </row>
    <row r="266" spans="1:7" x14ac:dyDescent="0.3">
      <c r="A266">
        <v>1263.5</v>
      </c>
      <c r="B266">
        <v>0.107223948</v>
      </c>
      <c r="C266">
        <v>-2.5592320000000002E-2</v>
      </c>
      <c r="D266">
        <v>-8.8984990000000007E-3</v>
      </c>
      <c r="E266">
        <v>4.1199999999999999E-5</v>
      </c>
      <c r="F266">
        <v>7.2774328999999985E-2</v>
      </c>
      <c r="G266">
        <v>281.05741096477902</v>
      </c>
    </row>
    <row r="267" spans="1:7" x14ac:dyDescent="0.3">
      <c r="A267">
        <v>1264.5</v>
      </c>
      <c r="B267">
        <v>0.10369993</v>
      </c>
      <c r="C267">
        <v>-2.4530618000000001E-2</v>
      </c>
      <c r="D267">
        <v>-8.8720929999999993E-3</v>
      </c>
      <c r="E267">
        <v>4.1199999999999999E-5</v>
      </c>
      <c r="F267">
        <v>7.0338418999999985E-2</v>
      </c>
      <c r="G267">
        <v>280.92626756379798</v>
      </c>
    </row>
    <row r="268" spans="1:7" x14ac:dyDescent="0.3">
      <c r="A268">
        <v>1265.5</v>
      </c>
      <c r="B268">
        <v>9.9895568000000004E-2</v>
      </c>
      <c r="C268">
        <v>-2.3529419999999999E-2</v>
      </c>
      <c r="D268">
        <v>-8.8440040000000008E-3</v>
      </c>
      <c r="E268">
        <v>4.1199999999999999E-5</v>
      </c>
      <c r="F268">
        <v>6.7563343999999997E-2</v>
      </c>
      <c r="G268">
        <v>280.77693282951998</v>
      </c>
    </row>
    <row r="269" spans="1:7" x14ac:dyDescent="0.3">
      <c r="A269">
        <v>1266.5</v>
      </c>
      <c r="B269">
        <v>9.5902782000000006E-2</v>
      </c>
      <c r="C269">
        <v>-2.2588539000000001E-2</v>
      </c>
      <c r="D269">
        <v>-8.8161260000000005E-3</v>
      </c>
      <c r="E269">
        <v>4.1199999999999999E-5</v>
      </c>
      <c r="F269">
        <v>6.4539316999999985E-2</v>
      </c>
      <c r="G269">
        <v>280.61428416027002</v>
      </c>
    </row>
    <row r="270" spans="1:7" x14ac:dyDescent="0.3">
      <c r="A270">
        <v>1267.5</v>
      </c>
      <c r="B270">
        <v>9.1813722E-2</v>
      </c>
      <c r="C270">
        <v>-2.1703836000000001E-2</v>
      </c>
      <c r="D270">
        <v>-8.7881069999999999E-3</v>
      </c>
      <c r="E270">
        <v>4.1199999999999999E-5</v>
      </c>
      <c r="F270">
        <v>6.1362978999999998E-2</v>
      </c>
      <c r="G270">
        <v>280.44353650005701</v>
      </c>
    </row>
    <row r="271" spans="1:7" x14ac:dyDescent="0.3">
      <c r="A271">
        <v>1268.5</v>
      </c>
      <c r="B271">
        <v>8.7629108999999997E-2</v>
      </c>
      <c r="C271">
        <v>-2.0871234999999998E-2</v>
      </c>
      <c r="D271">
        <v>-8.7583920000000003E-3</v>
      </c>
      <c r="E271">
        <v>4.1199999999999999E-5</v>
      </c>
      <c r="F271">
        <v>5.8040681999999996E-2</v>
      </c>
      <c r="G271">
        <v>280.26504468146902</v>
      </c>
    </row>
    <row r="272" spans="1:7" x14ac:dyDescent="0.3">
      <c r="A272">
        <v>1269.5</v>
      </c>
      <c r="B272">
        <v>8.3255122000000001E-2</v>
      </c>
      <c r="C272">
        <v>-2.0086645E-2</v>
      </c>
      <c r="D272">
        <v>-8.7288810000000008E-3</v>
      </c>
      <c r="E272">
        <v>4.1199999999999999E-5</v>
      </c>
      <c r="F272">
        <v>5.4480796000000005E-2</v>
      </c>
      <c r="G272">
        <v>280.07390401496298</v>
      </c>
    </row>
    <row r="273" spans="1:7" x14ac:dyDescent="0.3">
      <c r="A273">
        <v>1270.5</v>
      </c>
      <c r="B273">
        <v>7.887777E-2</v>
      </c>
      <c r="C273">
        <v>-1.9345957E-2</v>
      </c>
      <c r="D273">
        <v>-8.6992189999999994E-3</v>
      </c>
      <c r="E273">
        <v>4.1199999999999999E-5</v>
      </c>
      <c r="F273">
        <v>5.0873794000000007E-2</v>
      </c>
      <c r="G273">
        <v>279.88035559095999</v>
      </c>
    </row>
    <row r="274" spans="1:7" x14ac:dyDescent="0.3">
      <c r="A274">
        <v>1271.5</v>
      </c>
      <c r="B274">
        <v>7.4683627000000002E-2</v>
      </c>
      <c r="C274">
        <v>-1.8649145999999998E-2</v>
      </c>
      <c r="D274">
        <v>-8.6678459999999999E-3</v>
      </c>
      <c r="E274">
        <v>4.1199999999999999E-5</v>
      </c>
      <c r="F274">
        <v>4.7407835000000009E-2</v>
      </c>
      <c r="G274">
        <v>279.69449116509497</v>
      </c>
    </row>
    <row r="275" spans="1:7" x14ac:dyDescent="0.3">
      <c r="A275">
        <v>1272.5</v>
      </c>
      <c r="B275">
        <v>7.0579281999999993E-2</v>
      </c>
      <c r="C275">
        <v>-1.7992169999999998E-2</v>
      </c>
      <c r="D275">
        <v>-8.6366610000000003E-3</v>
      </c>
      <c r="E275">
        <v>4.1199999999999999E-5</v>
      </c>
      <c r="F275">
        <v>4.3991650999999993E-2</v>
      </c>
      <c r="G275">
        <v>279.51140680792503</v>
      </c>
    </row>
    <row r="276" spans="1:7" x14ac:dyDescent="0.3">
      <c r="A276">
        <v>1273.5</v>
      </c>
      <c r="B276">
        <v>6.6471972000000004E-2</v>
      </c>
      <c r="C276">
        <v>-1.7371002E-2</v>
      </c>
      <c r="D276">
        <v>-8.6035950000000003E-3</v>
      </c>
      <c r="E276">
        <v>4.1199999999999999E-5</v>
      </c>
      <c r="F276">
        <v>4.0538575000000014E-2</v>
      </c>
      <c r="G276">
        <v>279.32645715200499</v>
      </c>
    </row>
    <row r="277" spans="1:7" x14ac:dyDescent="0.3">
      <c r="A277">
        <v>1274.5</v>
      </c>
      <c r="B277">
        <v>6.2642624999999993E-2</v>
      </c>
      <c r="C277">
        <v>-1.6785573000000002E-2</v>
      </c>
      <c r="D277">
        <v>-8.5705360000000001E-3</v>
      </c>
      <c r="E277">
        <v>4.1199999999999999E-5</v>
      </c>
      <c r="F277">
        <v>3.7327715999999997E-2</v>
      </c>
      <c r="G277">
        <v>279.15458172810401</v>
      </c>
    </row>
    <row r="278" spans="1:7" x14ac:dyDescent="0.3">
      <c r="A278">
        <v>1275.5</v>
      </c>
      <c r="B278">
        <v>5.9091804999999997E-2</v>
      </c>
      <c r="C278">
        <v>-1.6231915999999999E-2</v>
      </c>
      <c r="D278">
        <v>-8.5393780000000002E-3</v>
      </c>
      <c r="E278">
        <v>4.1199999999999999E-5</v>
      </c>
      <c r="F278">
        <v>3.4361711000000003E-2</v>
      </c>
      <c r="G278">
        <v>278.99589943969801</v>
      </c>
    </row>
    <row r="279" spans="1:7" x14ac:dyDescent="0.3">
      <c r="A279">
        <v>1276.5</v>
      </c>
      <c r="B279">
        <v>5.5818172999999999E-2</v>
      </c>
      <c r="C279">
        <v>-1.5702134999999999E-2</v>
      </c>
      <c r="D279">
        <v>-8.5063229999999997E-3</v>
      </c>
      <c r="E279">
        <v>4.1199999999999999E-5</v>
      </c>
      <c r="F279">
        <v>3.1650915000000002E-2</v>
      </c>
      <c r="G279">
        <v>278.85094339759502</v>
      </c>
    </row>
    <row r="280" spans="1:7" x14ac:dyDescent="0.3">
      <c r="A280">
        <v>1277.5</v>
      </c>
      <c r="B280">
        <v>5.2917253999999997E-2</v>
      </c>
      <c r="C280">
        <v>-1.5196115E-2</v>
      </c>
      <c r="D280">
        <v>-8.4732650000000007E-3</v>
      </c>
      <c r="E280">
        <v>4.1199999999999999E-5</v>
      </c>
      <c r="F280">
        <v>2.9289073999999998E-2</v>
      </c>
      <c r="G280">
        <v>278.724703673362</v>
      </c>
    </row>
    <row r="281" spans="1:7" x14ac:dyDescent="0.3">
      <c r="A281">
        <v>1278.5</v>
      </c>
      <c r="B281">
        <v>5.0389620000000003E-2</v>
      </c>
      <c r="C281">
        <v>-1.4713896000000001E-2</v>
      </c>
      <c r="D281">
        <v>-8.4403759999999994E-3</v>
      </c>
      <c r="E281">
        <v>4.1199999999999999E-5</v>
      </c>
      <c r="F281">
        <v>2.7276548000000005E-2</v>
      </c>
      <c r="G281">
        <v>278.61717619502201</v>
      </c>
    </row>
    <row r="282" spans="1:7" x14ac:dyDescent="0.3">
      <c r="A282">
        <v>1279.5</v>
      </c>
      <c r="B282">
        <v>4.8329025999999997E-2</v>
      </c>
      <c r="C282">
        <v>-1.4251507E-2</v>
      </c>
      <c r="D282">
        <v>-8.4073050000000003E-3</v>
      </c>
      <c r="E282">
        <v>4.1199999999999999E-5</v>
      </c>
      <c r="F282">
        <v>2.5711413999999998E-2</v>
      </c>
      <c r="G282">
        <v>278.533578782831</v>
      </c>
    </row>
    <row r="283" spans="1:7" x14ac:dyDescent="0.3">
      <c r="A283">
        <v>1280.5</v>
      </c>
      <c r="B283">
        <v>4.6736914999999997E-2</v>
      </c>
      <c r="C283">
        <v>-1.3808922E-2</v>
      </c>
      <c r="D283">
        <v>-8.3742260000000002E-3</v>
      </c>
      <c r="E283">
        <v>4.1199999999999999E-5</v>
      </c>
      <c r="F283">
        <v>2.4594966999999995E-2</v>
      </c>
      <c r="G283">
        <v>278.47396092301102</v>
      </c>
    </row>
    <row r="284" spans="1:7" x14ac:dyDescent="0.3">
      <c r="A284">
        <v>1281.5</v>
      </c>
      <c r="B284">
        <v>4.5518511999999997E-2</v>
      </c>
      <c r="C284">
        <v>-1.3382221E-2</v>
      </c>
      <c r="D284">
        <v>-8.3413129999999995E-3</v>
      </c>
      <c r="E284">
        <v>4.1199999999999999E-5</v>
      </c>
      <c r="F284">
        <v>2.3836177999999996E-2</v>
      </c>
      <c r="G284">
        <v>278.43344862664998</v>
      </c>
    </row>
    <row r="285" spans="1:7" x14ac:dyDescent="0.3">
      <c r="A285">
        <v>1282.5</v>
      </c>
      <c r="B285">
        <v>4.4674990999999997E-2</v>
      </c>
      <c r="C285">
        <v>-1.2971307E-2</v>
      </c>
      <c r="D285">
        <v>-8.3082209999999993E-3</v>
      </c>
      <c r="E285">
        <v>4.1199999999999999E-5</v>
      </c>
      <c r="F285">
        <v>2.3436662999999996E-2</v>
      </c>
      <c r="G285">
        <v>278.41212050129701</v>
      </c>
    </row>
    <row r="286" spans="1:7" x14ac:dyDescent="0.3">
      <c r="A286">
        <v>1283.5</v>
      </c>
      <c r="B286">
        <v>4.4299842999999998E-2</v>
      </c>
      <c r="C286">
        <v>-1.2584052E-2</v>
      </c>
      <c r="D286">
        <v>-8.2751219999999993E-3</v>
      </c>
      <c r="E286">
        <v>4.1199999999999999E-5</v>
      </c>
      <c r="F286">
        <v>2.3481868999999999E-2</v>
      </c>
      <c r="G286">
        <v>278.41453390422203</v>
      </c>
    </row>
    <row r="287" spans="1:7" x14ac:dyDescent="0.3">
      <c r="A287">
        <v>1284.5</v>
      </c>
      <c r="B287">
        <v>4.4205581000000001E-2</v>
      </c>
      <c r="C287">
        <v>-1.2220427000000001E-2</v>
      </c>
      <c r="D287">
        <v>-8.2421960000000002E-3</v>
      </c>
      <c r="E287">
        <v>4.1199999999999999E-5</v>
      </c>
      <c r="F287">
        <v>2.3784158E-2</v>
      </c>
      <c r="G287">
        <v>278.430671881661</v>
      </c>
    </row>
    <row r="288" spans="1:7" x14ac:dyDescent="0.3">
      <c r="A288">
        <v>1285.5</v>
      </c>
      <c r="B288">
        <v>4.4487407E-2</v>
      </c>
      <c r="C288">
        <v>-1.1876444999999999E-2</v>
      </c>
      <c r="D288">
        <v>-8.2090930000000006E-3</v>
      </c>
      <c r="E288">
        <v>4.1199999999999999E-5</v>
      </c>
      <c r="F288">
        <v>2.4443068999999998E-2</v>
      </c>
      <c r="G288">
        <v>278.46585130751703</v>
      </c>
    </row>
    <row r="289" spans="1:7" x14ac:dyDescent="0.3">
      <c r="A289">
        <v>1286.5</v>
      </c>
      <c r="B289">
        <v>4.5143398000000001E-2</v>
      </c>
      <c r="C289">
        <v>-1.1552122E-2</v>
      </c>
      <c r="D289">
        <v>-8.1777110000000007E-3</v>
      </c>
      <c r="E289">
        <v>4.1199999999999999E-5</v>
      </c>
      <c r="F289">
        <v>2.5454765000000001E-2</v>
      </c>
      <c r="G289">
        <v>278.51987389603698</v>
      </c>
    </row>
    <row r="290" spans="1:7" x14ac:dyDescent="0.3">
      <c r="A290">
        <v>1287.5</v>
      </c>
      <c r="B290">
        <v>4.6080132000000003E-2</v>
      </c>
      <c r="C290">
        <v>-1.1251361E-2</v>
      </c>
      <c r="D290">
        <v>-8.1465010000000004E-3</v>
      </c>
      <c r="E290">
        <v>4.1199999999999999E-5</v>
      </c>
      <c r="F290">
        <v>2.6723469999999999E-2</v>
      </c>
      <c r="G290">
        <v>278.58763381567098</v>
      </c>
    </row>
    <row r="291" spans="1:7" x14ac:dyDescent="0.3">
      <c r="A291">
        <v>1288.5</v>
      </c>
      <c r="B291">
        <v>4.7298402000000003E-2</v>
      </c>
      <c r="C291">
        <v>-1.0978022E-2</v>
      </c>
      <c r="D291">
        <v>-8.1151220000000007E-3</v>
      </c>
      <c r="E291">
        <v>4.1199999999999999E-5</v>
      </c>
      <c r="F291">
        <v>2.8246457999999995E-2</v>
      </c>
      <c r="G291">
        <v>278.66899476677997</v>
      </c>
    </row>
    <row r="292" spans="1:7" x14ac:dyDescent="0.3">
      <c r="A292">
        <v>1289.5</v>
      </c>
      <c r="B292">
        <v>4.8797095999999998E-2</v>
      </c>
      <c r="C292">
        <v>-1.0732043E-2</v>
      </c>
      <c r="D292">
        <v>-8.0837449999999998E-3</v>
      </c>
      <c r="E292">
        <v>4.1199999999999999E-5</v>
      </c>
      <c r="F292">
        <v>3.0022508E-2</v>
      </c>
      <c r="G292">
        <v>278.76390221704099</v>
      </c>
    </row>
    <row r="293" spans="1:7" x14ac:dyDescent="0.3">
      <c r="A293">
        <v>1290.5</v>
      </c>
      <c r="B293">
        <v>5.0670141000000002E-2</v>
      </c>
      <c r="C293">
        <v>-1.0509563E-2</v>
      </c>
      <c r="D293">
        <v>-8.0542619999999995E-3</v>
      </c>
      <c r="E293">
        <v>4.1199999999999999E-5</v>
      </c>
      <c r="F293">
        <v>3.2147516000000008E-2</v>
      </c>
      <c r="G293">
        <v>278.87749617549002</v>
      </c>
    </row>
    <row r="294" spans="1:7" x14ac:dyDescent="0.3">
      <c r="A294">
        <v>1291.5</v>
      </c>
      <c r="B294">
        <v>5.2823055000000001E-2</v>
      </c>
      <c r="C294">
        <v>-1.0314482E-2</v>
      </c>
      <c r="D294">
        <v>-8.0247819999999994E-3</v>
      </c>
      <c r="E294">
        <v>4.1199999999999999E-5</v>
      </c>
      <c r="F294">
        <v>3.4524991000000005E-2</v>
      </c>
      <c r="G294">
        <v>279.004636322029</v>
      </c>
    </row>
    <row r="295" spans="1:7" x14ac:dyDescent="0.3">
      <c r="A295">
        <v>1292.5</v>
      </c>
      <c r="B295">
        <v>5.5162374E-2</v>
      </c>
      <c r="C295">
        <v>-1.0146707E-2</v>
      </c>
      <c r="D295">
        <v>-7.9951339999999992E-3</v>
      </c>
      <c r="E295">
        <v>4.1199999999999999E-5</v>
      </c>
      <c r="F295">
        <v>3.7061733000000006E-2</v>
      </c>
      <c r="G295">
        <v>279.14035228002098</v>
      </c>
    </row>
    <row r="296" spans="1:7" x14ac:dyDescent="0.3">
      <c r="A296">
        <v>1293.5</v>
      </c>
      <c r="B296">
        <v>5.7688801999999997E-2</v>
      </c>
      <c r="C296">
        <v>-1.0010142E-2</v>
      </c>
      <c r="D296">
        <v>-7.9672189999999993E-3</v>
      </c>
      <c r="E296">
        <v>4.1199999999999999E-5</v>
      </c>
      <c r="F296">
        <v>3.9752641000000005E-2</v>
      </c>
      <c r="G296">
        <v>279.284382425003</v>
      </c>
    </row>
    <row r="297" spans="1:7" x14ac:dyDescent="0.3">
      <c r="A297">
        <v>1294.5</v>
      </c>
      <c r="B297">
        <v>6.0494212999999998E-2</v>
      </c>
      <c r="C297">
        <v>-9.9048109999999995E-3</v>
      </c>
      <c r="D297">
        <v>-7.9394800000000005E-3</v>
      </c>
      <c r="E297">
        <v>4.1199999999999999E-5</v>
      </c>
      <c r="F297">
        <v>4.2691122000000005E-2</v>
      </c>
      <c r="G297">
        <v>279.44174187258801</v>
      </c>
    </row>
    <row r="298" spans="1:7" x14ac:dyDescent="0.3">
      <c r="A298">
        <v>1295.5</v>
      </c>
      <c r="B298">
        <v>6.3484257000000002E-2</v>
      </c>
      <c r="C298">
        <v>-9.8307039999999991E-3</v>
      </c>
      <c r="D298">
        <v>-7.911576E-3</v>
      </c>
      <c r="E298">
        <v>4.1199999999999999E-5</v>
      </c>
      <c r="F298">
        <v>4.5783177000000008E-2</v>
      </c>
      <c r="G298">
        <v>279.60741340001101</v>
      </c>
    </row>
    <row r="299" spans="1:7" x14ac:dyDescent="0.3">
      <c r="A299">
        <v>1296.5</v>
      </c>
      <c r="B299">
        <v>6.6565686999999998E-2</v>
      </c>
      <c r="C299">
        <v>-9.7878129999999994E-3</v>
      </c>
      <c r="D299">
        <v>-7.8854059999999993E-3</v>
      </c>
      <c r="E299">
        <v>4.1199999999999999E-5</v>
      </c>
      <c r="F299">
        <v>4.8933668000000007E-2</v>
      </c>
      <c r="G299">
        <v>279.77630857895701</v>
      </c>
    </row>
    <row r="300" spans="1:7" x14ac:dyDescent="0.3">
      <c r="A300">
        <v>1297.5</v>
      </c>
      <c r="B300">
        <v>6.9832187000000004E-2</v>
      </c>
      <c r="C300">
        <v>-9.7800140000000001E-3</v>
      </c>
      <c r="D300">
        <v>-7.8611419999999998E-3</v>
      </c>
      <c r="E300">
        <v>4.1199999999999999E-5</v>
      </c>
      <c r="F300">
        <v>5.2232231000000004E-2</v>
      </c>
      <c r="G300">
        <v>279.95324230672497</v>
      </c>
    </row>
    <row r="301" spans="1:7" x14ac:dyDescent="0.3">
      <c r="A301">
        <v>1298.5</v>
      </c>
      <c r="B301">
        <v>7.3284365000000004E-2</v>
      </c>
      <c r="C301">
        <v>-9.8073029999999999E-3</v>
      </c>
      <c r="D301">
        <v>-7.8368859999999995E-3</v>
      </c>
      <c r="E301">
        <v>4.1199999999999999E-5</v>
      </c>
      <c r="F301">
        <v>5.5681376000000005E-2</v>
      </c>
      <c r="G301">
        <v>280.13836304935501</v>
      </c>
    </row>
    <row r="302" spans="1:7" x14ac:dyDescent="0.3">
      <c r="A302">
        <v>1299.5</v>
      </c>
      <c r="B302">
        <v>7.6920955999999999E-2</v>
      </c>
      <c r="C302">
        <v>-9.8658070000000007E-3</v>
      </c>
      <c r="D302">
        <v>-7.8141889999999992E-3</v>
      </c>
      <c r="E302">
        <v>4.1199999999999999E-5</v>
      </c>
      <c r="F302">
        <v>5.928216E-2</v>
      </c>
      <c r="G302">
        <v>280.33174241904999</v>
      </c>
    </row>
    <row r="303" spans="1:7" x14ac:dyDescent="0.3">
      <c r="A303">
        <v>1300.5</v>
      </c>
      <c r="B303">
        <v>8.0647949999999996E-2</v>
      </c>
      <c r="C303">
        <v>-9.9633259999999998E-3</v>
      </c>
      <c r="D303">
        <v>-7.7932289999999996E-3</v>
      </c>
      <c r="E303">
        <v>4.1199999999999999E-5</v>
      </c>
      <c r="F303">
        <v>6.2932594999999994E-2</v>
      </c>
      <c r="G303">
        <v>280.52791343601803</v>
      </c>
    </row>
    <row r="304" spans="1:7" x14ac:dyDescent="0.3">
      <c r="A304">
        <v>1301.5</v>
      </c>
      <c r="B304">
        <v>8.4465167999999993E-2</v>
      </c>
      <c r="C304">
        <v>-1.0099833000000001E-2</v>
      </c>
      <c r="D304">
        <v>-7.7724539999999998E-3</v>
      </c>
      <c r="E304">
        <v>4.1199999999999999E-5</v>
      </c>
      <c r="F304">
        <v>6.6634080999999984E-2</v>
      </c>
      <c r="G304">
        <v>280.726956591305</v>
      </c>
    </row>
    <row r="305" spans="1:7" x14ac:dyDescent="0.3">
      <c r="A305">
        <v>1302.5</v>
      </c>
      <c r="B305">
        <v>8.8372428000000003E-2</v>
      </c>
      <c r="C305">
        <v>-1.0271463999999999E-2</v>
      </c>
      <c r="D305">
        <v>-7.7516920000000001E-3</v>
      </c>
      <c r="E305">
        <v>4.1199999999999999E-5</v>
      </c>
      <c r="F305">
        <v>7.0390471999999996E-2</v>
      </c>
      <c r="G305">
        <v>280.92908479316498</v>
      </c>
    </row>
    <row r="306" spans="1:7" x14ac:dyDescent="0.3">
      <c r="A306">
        <v>1303.5</v>
      </c>
      <c r="B306">
        <v>9.2370467999999997E-2</v>
      </c>
      <c r="C306">
        <v>-1.0482157000000001E-2</v>
      </c>
      <c r="D306">
        <v>-7.732666E-3</v>
      </c>
      <c r="E306">
        <v>4.1199999999999999E-5</v>
      </c>
      <c r="F306">
        <v>7.4196844999999984E-2</v>
      </c>
      <c r="G306">
        <v>281.13403874660298</v>
      </c>
    </row>
    <row r="307" spans="1:7" x14ac:dyDescent="0.3">
      <c r="A307">
        <v>1304.5</v>
      </c>
      <c r="B307">
        <v>9.6459095999999994E-2</v>
      </c>
      <c r="C307">
        <v>-1.0735819000000001E-2</v>
      </c>
      <c r="D307">
        <v>-7.7152050000000002E-3</v>
      </c>
      <c r="E307">
        <v>4.1199999999999999E-5</v>
      </c>
      <c r="F307">
        <v>7.8049271999999975E-2</v>
      </c>
      <c r="G307">
        <v>281.34161219138298</v>
      </c>
    </row>
    <row r="308" spans="1:7" x14ac:dyDescent="0.3">
      <c r="A308">
        <v>1305.5</v>
      </c>
      <c r="B308">
        <v>0.100544789</v>
      </c>
      <c r="C308">
        <v>-1.1032521E-2</v>
      </c>
      <c r="D308">
        <v>-7.6994869999999997E-3</v>
      </c>
      <c r="E308">
        <v>4.1199999999999999E-5</v>
      </c>
      <c r="F308">
        <v>8.1853980999999978E-2</v>
      </c>
      <c r="G308">
        <v>281.54675263476298</v>
      </c>
    </row>
    <row r="309" spans="1:7" x14ac:dyDescent="0.3">
      <c r="A309">
        <v>1306.5</v>
      </c>
      <c r="B309">
        <v>0.104627551</v>
      </c>
      <c r="C309">
        <v>-1.1368380000000001E-2</v>
      </c>
      <c r="D309">
        <v>-7.6856809999999998E-3</v>
      </c>
      <c r="E309">
        <v>4.1199999999999999E-5</v>
      </c>
      <c r="F309">
        <v>8.5614689999999993E-2</v>
      </c>
      <c r="G309">
        <v>281.74965558319599</v>
      </c>
    </row>
    <row r="310" spans="1:7" x14ac:dyDescent="0.3">
      <c r="A310">
        <v>1307.5</v>
      </c>
      <c r="B310">
        <v>0.10879965599999999</v>
      </c>
      <c r="C310">
        <v>-1.1747323E-2</v>
      </c>
      <c r="D310">
        <v>-7.6736119999999998E-3</v>
      </c>
      <c r="E310">
        <v>4.1199999999999999E-5</v>
      </c>
      <c r="F310">
        <v>8.9419920999999986E-2</v>
      </c>
      <c r="G310">
        <v>281.95509727140802</v>
      </c>
    </row>
    <row r="311" spans="1:7" x14ac:dyDescent="0.3">
      <c r="A311">
        <v>1308.5</v>
      </c>
      <c r="B311">
        <v>0.112968707</v>
      </c>
      <c r="C311">
        <v>-1.2173323999999999E-2</v>
      </c>
      <c r="D311">
        <v>-7.6632870000000004E-3</v>
      </c>
      <c r="E311">
        <v>4.1199999999999999E-5</v>
      </c>
      <c r="F311">
        <v>9.3173295999999989E-2</v>
      </c>
      <c r="G311">
        <v>282.15787391769697</v>
      </c>
    </row>
    <row r="312" spans="1:7" x14ac:dyDescent="0.3">
      <c r="A312">
        <v>1309.5</v>
      </c>
      <c r="B312">
        <v>0.11704165</v>
      </c>
      <c r="C312">
        <v>-1.2642518E-2</v>
      </c>
      <c r="D312">
        <v>-7.652982E-3</v>
      </c>
      <c r="E312">
        <v>4.1199999999999999E-5</v>
      </c>
      <c r="F312">
        <v>9.678734999999998E-2</v>
      </c>
      <c r="G312">
        <v>282.35325020522799</v>
      </c>
    </row>
    <row r="313" spans="1:7" x14ac:dyDescent="0.3">
      <c r="A313">
        <v>1310.5</v>
      </c>
      <c r="B313">
        <v>0.121019612</v>
      </c>
      <c r="C313">
        <v>-1.3151077000000001E-2</v>
      </c>
      <c r="D313">
        <v>-7.6444199999999999E-3</v>
      </c>
      <c r="E313">
        <v>4.1199999999999999E-5</v>
      </c>
      <c r="F313">
        <v>0.10026531499999999</v>
      </c>
      <c r="G313">
        <v>282.54138668998598</v>
      </c>
    </row>
    <row r="314" spans="1:7" x14ac:dyDescent="0.3">
      <c r="A314">
        <v>1311.5</v>
      </c>
      <c r="B314">
        <v>0.124902789</v>
      </c>
      <c r="C314">
        <v>-1.369513E-2</v>
      </c>
      <c r="D314">
        <v>-7.6375999999999996E-3</v>
      </c>
      <c r="E314">
        <v>4.1199999999999999E-5</v>
      </c>
      <c r="F314">
        <v>0.103611259</v>
      </c>
      <c r="G314">
        <v>282.72249021563999</v>
      </c>
    </row>
    <row r="315" spans="1:7" x14ac:dyDescent="0.3">
      <c r="A315">
        <v>1312.5</v>
      </c>
      <c r="B315">
        <v>0.12869045600000001</v>
      </c>
      <c r="C315">
        <v>-1.4274736999999999E-2</v>
      </c>
      <c r="D315">
        <v>-7.6325209999999998E-3</v>
      </c>
      <c r="E315">
        <v>4.1199999999999999E-5</v>
      </c>
      <c r="F315">
        <v>0.106824398</v>
      </c>
      <c r="G315">
        <v>282.89650560885002</v>
      </c>
    </row>
    <row r="316" spans="1:7" x14ac:dyDescent="0.3">
      <c r="A316">
        <v>1313.5</v>
      </c>
      <c r="B316">
        <v>0.13238371800000001</v>
      </c>
      <c r="C316">
        <v>-1.4882128E-2</v>
      </c>
      <c r="D316">
        <v>-7.6291800000000002E-3</v>
      </c>
      <c r="E316">
        <v>4.1199999999999999E-5</v>
      </c>
      <c r="F316">
        <v>0.10991361000000001</v>
      </c>
      <c r="G316">
        <v>283.06390213809198</v>
      </c>
    </row>
    <row r="317" spans="1:7" x14ac:dyDescent="0.3">
      <c r="A317">
        <v>1314.5</v>
      </c>
      <c r="B317">
        <v>0.13589001000000001</v>
      </c>
      <c r="C317">
        <v>-1.5513416E-2</v>
      </c>
      <c r="D317">
        <v>-7.6275789999999998E-3</v>
      </c>
      <c r="E317">
        <v>4.1199999999999999E-5</v>
      </c>
      <c r="F317">
        <v>0.112790215</v>
      </c>
      <c r="G317">
        <v>283.21985967720298</v>
      </c>
    </row>
    <row r="318" spans="1:7" x14ac:dyDescent="0.3">
      <c r="A318">
        <v>1315.5</v>
      </c>
      <c r="B318">
        <v>0.139209677</v>
      </c>
      <c r="C318">
        <v>-1.6164782999999999E-2</v>
      </c>
      <c r="D318">
        <v>-7.6294409999999998E-3</v>
      </c>
      <c r="E318">
        <v>4.1199999999999999E-5</v>
      </c>
      <c r="F318">
        <v>0.11545665299999999</v>
      </c>
      <c r="G318">
        <v>283.364493121419</v>
      </c>
    </row>
    <row r="319" spans="1:7" x14ac:dyDescent="0.3">
      <c r="A319">
        <v>1316.5</v>
      </c>
      <c r="B319">
        <v>0.142343042</v>
      </c>
      <c r="C319">
        <v>-1.6832287000000001E-2</v>
      </c>
      <c r="D319">
        <v>-7.6330399999999998E-3</v>
      </c>
      <c r="E319">
        <v>4.1199999999999999E-5</v>
      </c>
      <c r="F319">
        <v>0.117918915</v>
      </c>
      <c r="G319">
        <v>283.49811175938697</v>
      </c>
    </row>
    <row r="320" spans="1:7" x14ac:dyDescent="0.3">
      <c r="A320">
        <v>1317.5</v>
      </c>
      <c r="B320">
        <v>0.14519873</v>
      </c>
      <c r="C320">
        <v>-1.7508105E-2</v>
      </c>
      <c r="D320">
        <v>-7.6366530000000002E-3</v>
      </c>
      <c r="E320">
        <v>4.1199999999999999E-5</v>
      </c>
      <c r="F320">
        <v>0.120095172</v>
      </c>
      <c r="G320">
        <v>283.616257988428</v>
      </c>
    </row>
    <row r="321" spans="1:7" x14ac:dyDescent="0.3">
      <c r="A321">
        <v>1318.5</v>
      </c>
      <c r="B321">
        <v>0.14777715899999999</v>
      </c>
      <c r="C321">
        <v>-1.8192292999999998E-2</v>
      </c>
      <c r="D321">
        <v>-7.6437279999999998E-3</v>
      </c>
      <c r="E321">
        <v>4.1199999999999999E-5</v>
      </c>
      <c r="F321">
        <v>0.12198233799999998</v>
      </c>
      <c r="G321">
        <v>283.718746267813</v>
      </c>
    </row>
    <row r="322" spans="1:7" x14ac:dyDescent="0.3">
      <c r="A322">
        <v>1319.5</v>
      </c>
      <c r="B322">
        <v>0.149985269</v>
      </c>
      <c r="C322">
        <v>-1.8880879999999999E-2</v>
      </c>
      <c r="D322">
        <v>-7.6542659999999998E-3</v>
      </c>
      <c r="E322">
        <v>4.1199999999999999E-5</v>
      </c>
      <c r="F322">
        <v>0.12349132300000001</v>
      </c>
      <c r="G322">
        <v>283.80072057860599</v>
      </c>
    </row>
    <row r="323" spans="1:7" x14ac:dyDescent="0.3">
      <c r="A323">
        <v>1320.5</v>
      </c>
      <c r="B323">
        <v>0.151916894</v>
      </c>
      <c r="C323">
        <v>-1.9566001E-2</v>
      </c>
      <c r="D323">
        <v>-7.6648139999999998E-3</v>
      </c>
      <c r="E323">
        <v>4.1199999999999999E-5</v>
      </c>
      <c r="F323">
        <v>0.12472727899999998</v>
      </c>
      <c r="G323">
        <v>283.86787897658502</v>
      </c>
    </row>
    <row r="324" spans="1:7" x14ac:dyDescent="0.3">
      <c r="A324">
        <v>1321.5</v>
      </c>
      <c r="B324">
        <v>0.15357231499999999</v>
      </c>
      <c r="C324">
        <v>-2.0243728999999999E-2</v>
      </c>
      <c r="D324">
        <v>-7.6770939999999998E-3</v>
      </c>
      <c r="E324">
        <v>4.1199999999999999E-5</v>
      </c>
      <c r="F324">
        <v>0.12569269199999999</v>
      </c>
      <c r="G324">
        <v>283.92034683713001</v>
      </c>
    </row>
    <row r="325" spans="1:7" x14ac:dyDescent="0.3">
      <c r="A325">
        <v>1322.5</v>
      </c>
      <c r="B325">
        <v>0.15476780500000001</v>
      </c>
      <c r="C325">
        <v>-2.0910090999999999E-2</v>
      </c>
      <c r="D325">
        <v>-7.6928359999999998E-3</v>
      </c>
      <c r="E325">
        <v>4.1199999999999999E-5</v>
      </c>
      <c r="F325">
        <v>0.126206078</v>
      </c>
      <c r="G325">
        <v>283.948251620375</v>
      </c>
    </row>
    <row r="326" spans="1:7" x14ac:dyDescent="0.3">
      <c r="A326">
        <v>1323.5</v>
      </c>
      <c r="B326">
        <v>0.15550365299999999</v>
      </c>
      <c r="C326">
        <v>-2.156506E-2</v>
      </c>
      <c r="D326">
        <v>-7.7103149999999997E-3</v>
      </c>
      <c r="E326">
        <v>4.1199999999999999E-5</v>
      </c>
      <c r="F326">
        <v>0.12626947799999999</v>
      </c>
      <c r="G326">
        <v>283.95169742241302</v>
      </c>
    </row>
    <row r="327" spans="1:7" x14ac:dyDescent="0.3">
      <c r="A327">
        <v>1324.5</v>
      </c>
      <c r="B327">
        <v>0.15587063200000001</v>
      </c>
      <c r="C327">
        <v>-2.2200759E-2</v>
      </c>
      <c r="D327">
        <v>-7.7296989999999996E-3</v>
      </c>
      <c r="E327">
        <v>4.1199999999999999E-5</v>
      </c>
      <c r="F327">
        <v>0.12598137399999998</v>
      </c>
      <c r="G327">
        <v>283.93603659708401</v>
      </c>
    </row>
    <row r="328" spans="1:7" x14ac:dyDescent="0.3">
      <c r="A328">
        <v>1325.5</v>
      </c>
      <c r="B328">
        <v>0.15577913400000001</v>
      </c>
      <c r="C328">
        <v>-2.2813183000000001E-2</v>
      </c>
      <c r="D328">
        <v>-7.7525399999999996E-3</v>
      </c>
      <c r="E328">
        <v>4.1199999999999999E-5</v>
      </c>
      <c r="F328">
        <v>0.12525461100000002</v>
      </c>
      <c r="G328">
        <v>283.896535115576</v>
      </c>
    </row>
    <row r="329" spans="1:7" x14ac:dyDescent="0.3">
      <c r="A329">
        <v>1326.5</v>
      </c>
      <c r="B329">
        <v>0.155135784</v>
      </c>
      <c r="C329">
        <v>-2.3394307999999999E-2</v>
      </c>
      <c r="D329">
        <v>-7.7786679999999999E-3</v>
      </c>
      <c r="E329">
        <v>4.1199999999999999E-5</v>
      </c>
      <c r="F329">
        <v>0.12400400799999999</v>
      </c>
      <c r="G329">
        <v>283.82857381681299</v>
      </c>
    </row>
    <row r="330" spans="1:7" x14ac:dyDescent="0.3">
      <c r="A330">
        <v>1327.5</v>
      </c>
      <c r="B330">
        <v>0.15403193500000001</v>
      </c>
      <c r="C330">
        <v>-2.3944152999999999E-2</v>
      </c>
      <c r="D330">
        <v>-7.8066990000000003E-3</v>
      </c>
      <c r="E330">
        <v>4.1199999999999999E-5</v>
      </c>
      <c r="F330">
        <v>0.122322283</v>
      </c>
      <c r="G330">
        <v>283.73720779111602</v>
      </c>
    </row>
    <row r="331" spans="1:7" x14ac:dyDescent="0.3">
      <c r="A331">
        <v>1328.5</v>
      </c>
      <c r="B331">
        <v>0.15237666999999999</v>
      </c>
      <c r="C331">
        <v>-2.4458688999999999E-2</v>
      </c>
      <c r="D331">
        <v>-7.8364639999999996E-3</v>
      </c>
      <c r="E331">
        <v>4.1199999999999999E-5</v>
      </c>
      <c r="F331">
        <v>0.12012271699999998</v>
      </c>
      <c r="G331">
        <v>283.61774898080301</v>
      </c>
    </row>
    <row r="332" spans="1:7" x14ac:dyDescent="0.3">
      <c r="A332">
        <v>1329.5</v>
      </c>
      <c r="B332">
        <v>0.15007698899999999</v>
      </c>
      <c r="C332">
        <v>-2.4929906000000002E-2</v>
      </c>
      <c r="D332">
        <v>-7.8695150000000005E-3</v>
      </c>
      <c r="E332">
        <v>4.1199999999999999E-5</v>
      </c>
      <c r="F332">
        <v>0.11731876799999999</v>
      </c>
      <c r="G332">
        <v>283.46553305677003</v>
      </c>
    </row>
    <row r="333" spans="1:7" x14ac:dyDescent="0.3">
      <c r="A333">
        <v>1330.5</v>
      </c>
      <c r="B333">
        <v>0.14722376300000001</v>
      </c>
      <c r="C333">
        <v>-2.535782E-2</v>
      </c>
      <c r="D333">
        <v>-7.9061949999999995E-3</v>
      </c>
      <c r="E333">
        <v>4.1199999999999999E-5</v>
      </c>
      <c r="F333">
        <v>0.11400094799999999</v>
      </c>
      <c r="G333">
        <v>283.28551797610601</v>
      </c>
    </row>
    <row r="334" spans="1:7" x14ac:dyDescent="0.3">
      <c r="A334">
        <v>1331.5</v>
      </c>
      <c r="B334">
        <v>0.14381707699999999</v>
      </c>
      <c r="C334">
        <v>-2.5738312999999999E-2</v>
      </c>
      <c r="D334">
        <v>-7.9446039999999992E-3</v>
      </c>
      <c r="E334">
        <v>4.1199999999999999E-5</v>
      </c>
      <c r="F334">
        <v>0.11017535999999999</v>
      </c>
      <c r="G334">
        <v>283.07808311210999</v>
      </c>
    </row>
    <row r="335" spans="1:7" x14ac:dyDescent="0.3">
      <c r="A335">
        <v>1332.5</v>
      </c>
      <c r="B335">
        <v>0.139855019</v>
      </c>
      <c r="C335">
        <v>-2.6067384999999998E-2</v>
      </c>
      <c r="D335">
        <v>-7.9845690000000004E-3</v>
      </c>
      <c r="E335">
        <v>4.1199999999999999E-5</v>
      </c>
      <c r="F335">
        <v>0.10584426499999999</v>
      </c>
      <c r="G335">
        <v>282.843406473014</v>
      </c>
    </row>
    <row r="336" spans="1:7" x14ac:dyDescent="0.3">
      <c r="A336">
        <v>1333.5</v>
      </c>
      <c r="B336">
        <v>0.13533643300000001</v>
      </c>
      <c r="C336">
        <v>-2.6352990999999999E-2</v>
      </c>
      <c r="D336">
        <v>-8.0281640000000008E-3</v>
      </c>
      <c r="E336">
        <v>4.1199999999999999E-5</v>
      </c>
      <c r="F336">
        <v>0.100996478</v>
      </c>
      <c r="G336">
        <v>282.58094516523801</v>
      </c>
    </row>
    <row r="337" spans="1:7" x14ac:dyDescent="0.3">
      <c r="A337">
        <v>1334.5</v>
      </c>
      <c r="B337">
        <v>0.13044567500000001</v>
      </c>
      <c r="C337">
        <v>-2.6602982000000001E-2</v>
      </c>
      <c r="D337">
        <v>-8.0752129999999995E-3</v>
      </c>
      <c r="E337">
        <v>4.1199999999999999E-5</v>
      </c>
      <c r="F337">
        <v>9.5808680000000007E-2</v>
      </c>
      <c r="G337">
        <v>282.30032313779401</v>
      </c>
    </row>
    <row r="338" spans="1:7" x14ac:dyDescent="0.3">
      <c r="A338">
        <v>1335.5</v>
      </c>
      <c r="B338">
        <v>0.12527287200000001</v>
      </c>
      <c r="C338">
        <v>-2.6817290000000001E-2</v>
      </c>
      <c r="D338">
        <v>-8.1239880000000004E-3</v>
      </c>
      <c r="E338">
        <v>4.1199999999999999E-5</v>
      </c>
      <c r="F338">
        <v>9.0372794000000006E-2</v>
      </c>
      <c r="G338">
        <v>282.00655578588203</v>
      </c>
    </row>
    <row r="339" spans="1:7" x14ac:dyDescent="0.3">
      <c r="A339">
        <v>1336.5</v>
      </c>
      <c r="B339">
        <v>0.119725164</v>
      </c>
      <c r="C339">
        <v>-2.7003862999999999E-2</v>
      </c>
      <c r="D339">
        <v>-8.1744950000000004E-3</v>
      </c>
      <c r="E339">
        <v>4.1199999999999999E-5</v>
      </c>
      <c r="F339">
        <v>8.4588005999999979E-2</v>
      </c>
      <c r="G339">
        <v>281.69424127533898</v>
      </c>
    </row>
    <row r="340" spans="1:7" x14ac:dyDescent="0.3">
      <c r="A340">
        <v>1337.5</v>
      </c>
      <c r="B340">
        <v>0.11389457</v>
      </c>
      <c r="C340">
        <v>-2.7170619999999999E-2</v>
      </c>
      <c r="D340">
        <v>-8.2284609999999994E-3</v>
      </c>
      <c r="E340">
        <v>4.1199999999999999E-5</v>
      </c>
      <c r="F340">
        <v>7.8536688999999993E-2</v>
      </c>
      <c r="G340">
        <v>281.367876966533</v>
      </c>
    </row>
    <row r="341" spans="1:7" x14ac:dyDescent="0.3">
      <c r="A341">
        <v>1338.5</v>
      </c>
      <c r="B341">
        <v>0.107965715</v>
      </c>
      <c r="C341">
        <v>-2.7325486E-2</v>
      </c>
      <c r="D341">
        <v>-8.2843299999999995E-3</v>
      </c>
      <c r="E341">
        <v>4.1199999999999999E-5</v>
      </c>
      <c r="F341">
        <v>7.2397098999999993E-2</v>
      </c>
      <c r="G341">
        <v>281.03710679202999</v>
      </c>
    </row>
    <row r="342" spans="1:7" x14ac:dyDescent="0.3">
      <c r="A342">
        <v>1339.5</v>
      </c>
      <c r="B342">
        <v>0.101937373</v>
      </c>
      <c r="C342">
        <v>-2.7472441E-2</v>
      </c>
      <c r="D342">
        <v>-8.3417579999999995E-3</v>
      </c>
      <c r="E342">
        <v>4.1199999999999999E-5</v>
      </c>
      <c r="F342">
        <v>6.6164373999999984E-2</v>
      </c>
      <c r="G342">
        <v>280.70168418540999</v>
      </c>
    </row>
    <row r="343" spans="1:7" x14ac:dyDescent="0.3">
      <c r="A343">
        <v>1340.5</v>
      </c>
      <c r="B343">
        <v>9.5716751000000003E-2</v>
      </c>
      <c r="C343">
        <v>-2.7619421000000002E-2</v>
      </c>
      <c r="D343">
        <v>-8.4009250000000001E-3</v>
      </c>
      <c r="E343">
        <v>4.1199999999999999E-5</v>
      </c>
      <c r="F343">
        <v>5.9737604999999999E-2</v>
      </c>
      <c r="G343">
        <v>280.35620393829703</v>
      </c>
    </row>
    <row r="344" spans="1:7" x14ac:dyDescent="0.3">
      <c r="A344">
        <v>1341.5</v>
      </c>
      <c r="B344">
        <v>8.9489318999999998E-2</v>
      </c>
      <c r="C344">
        <v>-2.7770414E-2</v>
      </c>
      <c r="D344">
        <v>-8.4635519999999992E-3</v>
      </c>
      <c r="E344">
        <v>4.1199999999999999E-5</v>
      </c>
      <c r="F344">
        <v>5.3296553000000003E-2</v>
      </c>
      <c r="G344">
        <v>280.01034772532103</v>
      </c>
    </row>
    <row r="345" spans="1:7" x14ac:dyDescent="0.3">
      <c r="A345">
        <v>1342.5</v>
      </c>
      <c r="B345">
        <v>8.3441353999999995E-2</v>
      </c>
      <c r="C345">
        <v>-2.7933362999999999E-2</v>
      </c>
      <c r="D345">
        <v>-8.5279099999999997E-3</v>
      </c>
      <c r="E345">
        <v>4.1199999999999999E-5</v>
      </c>
      <c r="F345">
        <v>4.7021280999999998E-2</v>
      </c>
      <c r="G345">
        <v>279.673770200381</v>
      </c>
    </row>
    <row r="346" spans="1:7" x14ac:dyDescent="0.3">
      <c r="A346">
        <v>1343.5</v>
      </c>
      <c r="B346">
        <v>7.7479728999999997E-2</v>
      </c>
      <c r="C346">
        <v>-2.8112226000000001E-2</v>
      </c>
      <c r="D346">
        <v>-8.5941779999999992E-3</v>
      </c>
      <c r="E346">
        <v>4.1199999999999999E-5</v>
      </c>
      <c r="F346">
        <v>4.0814524999999997E-2</v>
      </c>
      <c r="G346">
        <v>279.34123331806097</v>
      </c>
    </row>
    <row r="347" spans="1:7" x14ac:dyDescent="0.3">
      <c r="A347">
        <v>1344.5</v>
      </c>
      <c r="B347">
        <v>7.1698524E-2</v>
      </c>
      <c r="C347">
        <v>-2.8311003000000001E-2</v>
      </c>
      <c r="D347">
        <v>-8.6639060000000007E-3</v>
      </c>
      <c r="E347">
        <v>4.1199999999999999E-5</v>
      </c>
      <c r="F347">
        <v>3.4764815000000004E-2</v>
      </c>
      <c r="G347">
        <v>279.017460020447</v>
      </c>
    </row>
    <row r="348" spans="1:7" x14ac:dyDescent="0.3">
      <c r="A348">
        <v>1345.5</v>
      </c>
      <c r="B348">
        <v>6.6192187999999999E-2</v>
      </c>
      <c r="C348">
        <v>-2.8541641999999999E-2</v>
      </c>
      <c r="D348">
        <v>-8.7334720000000008E-3</v>
      </c>
      <c r="E348">
        <v>4.1199999999999999E-5</v>
      </c>
      <c r="F348">
        <v>2.8958273999999999E-2</v>
      </c>
      <c r="G348">
        <v>278.70702528055102</v>
      </c>
    </row>
    <row r="349" spans="1:7" x14ac:dyDescent="0.3">
      <c r="A349">
        <v>1346.5</v>
      </c>
      <c r="B349">
        <v>6.0867546000000002E-2</v>
      </c>
      <c r="C349">
        <v>-2.8808081999999999E-2</v>
      </c>
      <c r="D349">
        <v>-8.8047820000000006E-3</v>
      </c>
      <c r="E349">
        <v>4.1199999999999999E-5</v>
      </c>
      <c r="F349">
        <v>2.3295882E-2</v>
      </c>
      <c r="G349">
        <v>278.40460291511698</v>
      </c>
    </row>
    <row r="350" spans="1:7" x14ac:dyDescent="0.3">
      <c r="A350">
        <v>1347.5</v>
      </c>
      <c r="B350">
        <v>5.5912310999999999E-2</v>
      </c>
      <c r="C350">
        <v>-2.9118383000000001E-2</v>
      </c>
      <c r="D350">
        <v>-8.8780030000000006E-3</v>
      </c>
      <c r="E350">
        <v>4.1199999999999999E-5</v>
      </c>
      <c r="F350">
        <v>1.7957124999999997E-2</v>
      </c>
      <c r="G350">
        <v>278.11974187184001</v>
      </c>
    </row>
    <row r="351" spans="1:7" x14ac:dyDescent="0.3">
      <c r="A351">
        <v>1348.5</v>
      </c>
      <c r="B351">
        <v>5.1419726999999998E-2</v>
      </c>
      <c r="C351">
        <v>-2.9476544E-2</v>
      </c>
      <c r="D351">
        <v>-8.9529629999999995E-3</v>
      </c>
      <c r="E351">
        <v>4.1199999999999999E-5</v>
      </c>
      <c r="F351">
        <v>1.3031419999999998E-2</v>
      </c>
      <c r="G351">
        <v>277.85715795854099</v>
      </c>
    </row>
    <row r="352" spans="1:7" x14ac:dyDescent="0.3">
      <c r="A352">
        <v>1349.5</v>
      </c>
      <c r="B352">
        <v>4.7391830000000003E-2</v>
      </c>
      <c r="C352">
        <v>-2.9886578E-2</v>
      </c>
      <c r="D352">
        <v>-9.0312159999999999E-3</v>
      </c>
      <c r="E352">
        <v>4.1199999999999999E-5</v>
      </c>
      <c r="F352">
        <v>8.5152360000000024E-3</v>
      </c>
      <c r="G352">
        <v>277.61660537419903</v>
      </c>
    </row>
    <row r="353" spans="1:7" x14ac:dyDescent="0.3">
      <c r="A353">
        <v>1350.5</v>
      </c>
      <c r="B353">
        <v>4.3924807000000003E-2</v>
      </c>
      <c r="C353">
        <v>-3.0344590000000001E-2</v>
      </c>
      <c r="D353">
        <v>-9.1112050000000007E-3</v>
      </c>
      <c r="E353">
        <v>4.1199999999999999E-5</v>
      </c>
      <c r="F353">
        <v>4.5102120000000013E-3</v>
      </c>
      <c r="G353">
        <v>277.40343979402297</v>
      </c>
    </row>
    <row r="354" spans="1:7" x14ac:dyDescent="0.3">
      <c r="A354">
        <v>1351.5</v>
      </c>
      <c r="B354">
        <v>4.0924439999999999E-2</v>
      </c>
      <c r="C354">
        <v>-3.0814787E-2</v>
      </c>
      <c r="D354">
        <v>-9.1913610000000003E-3</v>
      </c>
      <c r="E354">
        <v>4.1199999999999999E-5</v>
      </c>
      <c r="F354">
        <v>9.594919999999994E-4</v>
      </c>
      <c r="G354">
        <v>277.21458028867897</v>
      </c>
    </row>
    <row r="355" spans="1:7" x14ac:dyDescent="0.3">
      <c r="A355">
        <v>1352.5</v>
      </c>
      <c r="B355">
        <v>3.8391474000000002E-2</v>
      </c>
      <c r="C355">
        <v>-3.1229402999999999E-2</v>
      </c>
      <c r="D355">
        <v>-9.2732049999999996E-3</v>
      </c>
      <c r="E355">
        <v>4.1199999999999999E-5</v>
      </c>
      <c r="F355">
        <v>-2.0699339999999972E-3</v>
      </c>
      <c r="G355">
        <v>277.05354273453003</v>
      </c>
    </row>
    <row r="356" spans="1:7" x14ac:dyDescent="0.3">
      <c r="A356">
        <v>1353.5</v>
      </c>
      <c r="B356">
        <v>3.6326532000000002E-2</v>
      </c>
      <c r="C356">
        <v>-3.1512587000000002E-2</v>
      </c>
      <c r="D356">
        <v>-9.3567010000000003E-3</v>
      </c>
      <c r="E356">
        <v>4.1199999999999999E-5</v>
      </c>
      <c r="F356">
        <v>-4.5015560000000003E-3</v>
      </c>
      <c r="G356">
        <v>276.92435054253201</v>
      </c>
    </row>
    <row r="357" spans="1:7" x14ac:dyDescent="0.3">
      <c r="A357">
        <v>1354.5</v>
      </c>
      <c r="B357">
        <v>3.4636647E-2</v>
      </c>
      <c r="C357">
        <v>-3.1600411000000002E-2</v>
      </c>
      <c r="D357">
        <v>-9.4400909999999994E-3</v>
      </c>
      <c r="E357">
        <v>4.1199999999999999E-5</v>
      </c>
      <c r="F357">
        <v>-6.3626550000000018E-3</v>
      </c>
      <c r="G357">
        <v>276.825510966276</v>
      </c>
    </row>
    <row r="358" spans="1:7" x14ac:dyDescent="0.3">
      <c r="A358">
        <v>1355.5</v>
      </c>
      <c r="B358">
        <v>3.3322154E-2</v>
      </c>
      <c r="C358">
        <v>-3.1484814E-2</v>
      </c>
      <c r="D358">
        <v>-9.5249219999999999E-3</v>
      </c>
      <c r="E358">
        <v>4.1199999999999999E-5</v>
      </c>
      <c r="F358">
        <v>-7.6463820000000002E-3</v>
      </c>
      <c r="G358">
        <v>276.75735515724398</v>
      </c>
    </row>
    <row r="359" spans="1:7" x14ac:dyDescent="0.3">
      <c r="A359">
        <v>1356.5</v>
      </c>
      <c r="B359">
        <v>3.2382378000000003E-2</v>
      </c>
      <c r="C359">
        <v>-3.1197816999999999E-2</v>
      </c>
      <c r="D359">
        <v>-9.6131089999999999E-3</v>
      </c>
      <c r="E359">
        <v>4.1199999999999999E-5</v>
      </c>
      <c r="F359">
        <v>-8.3873479999999959E-3</v>
      </c>
      <c r="G359">
        <v>276.71802347102903</v>
      </c>
    </row>
    <row r="360" spans="1:7" x14ac:dyDescent="0.3">
      <c r="A360">
        <v>1357.5</v>
      </c>
      <c r="B360">
        <v>3.1819377000000003E-2</v>
      </c>
      <c r="C360">
        <v>-3.0771386000000001E-2</v>
      </c>
      <c r="D360">
        <v>-9.7013819999999997E-3</v>
      </c>
      <c r="E360">
        <v>4.1199999999999999E-5</v>
      </c>
      <c r="F360">
        <v>-8.6121909999999982E-3</v>
      </c>
      <c r="G360">
        <v>276.70608962117598</v>
      </c>
    </row>
    <row r="361" spans="1:7" x14ac:dyDescent="0.3">
      <c r="A361">
        <v>1358.5</v>
      </c>
      <c r="B361">
        <v>3.1632328000000001E-2</v>
      </c>
      <c r="C361">
        <v>-3.0249542000000001E-2</v>
      </c>
      <c r="D361">
        <v>-9.7895889999999996E-3</v>
      </c>
      <c r="E361">
        <v>4.1199999999999999E-5</v>
      </c>
      <c r="F361">
        <v>-8.3656029999999992E-3</v>
      </c>
      <c r="G361">
        <v>276.71917792767698</v>
      </c>
    </row>
    <row r="362" spans="1:7" x14ac:dyDescent="0.3">
      <c r="A362">
        <v>1359.5</v>
      </c>
      <c r="B362">
        <v>3.1725868999999997E-2</v>
      </c>
      <c r="C362">
        <v>-2.9668295000000001E-2</v>
      </c>
      <c r="D362">
        <v>-9.879479E-3</v>
      </c>
      <c r="E362">
        <v>4.1199999999999999E-5</v>
      </c>
      <c r="F362">
        <v>-7.7807050000000041E-3</v>
      </c>
      <c r="G362">
        <v>276.75022515797298</v>
      </c>
    </row>
    <row r="363" spans="1:7" x14ac:dyDescent="0.3">
      <c r="A363">
        <v>1360.5</v>
      </c>
      <c r="B363">
        <v>3.2195379000000003E-2</v>
      </c>
      <c r="C363">
        <v>-2.9063545999999999E-2</v>
      </c>
      <c r="D363">
        <v>-9.9710649999999994E-3</v>
      </c>
      <c r="E363">
        <v>4.1199999999999999E-5</v>
      </c>
      <c r="F363">
        <v>-6.7980319999999955E-3</v>
      </c>
      <c r="G363">
        <v>276.80239459881</v>
      </c>
    </row>
    <row r="364" spans="1:7" x14ac:dyDescent="0.3">
      <c r="A364">
        <v>1361.5</v>
      </c>
      <c r="B364">
        <v>3.2947258E-2</v>
      </c>
      <c r="C364">
        <v>-2.8463129E-2</v>
      </c>
      <c r="D364">
        <v>-1.0064366E-2</v>
      </c>
      <c r="E364">
        <v>4.1199999999999999E-5</v>
      </c>
      <c r="F364">
        <v>-5.5390370000000001E-3</v>
      </c>
      <c r="G364">
        <v>276.86924812352697</v>
      </c>
    </row>
    <row r="365" spans="1:7" x14ac:dyDescent="0.3">
      <c r="A365">
        <v>1362.5</v>
      </c>
      <c r="B365">
        <v>3.3886027999999999E-2</v>
      </c>
      <c r="C365">
        <v>-2.7874972000000001E-2</v>
      </c>
      <c r="D365">
        <v>-1.0157661E-2</v>
      </c>
      <c r="E365">
        <v>4.1199999999999999E-5</v>
      </c>
      <c r="F365">
        <v>-4.1054050000000029E-3</v>
      </c>
      <c r="G365">
        <v>276.94539452073502</v>
      </c>
    </row>
    <row r="366" spans="1:7" x14ac:dyDescent="0.3">
      <c r="A366">
        <v>1363.5</v>
      </c>
      <c r="B366">
        <v>3.5200416999999998E-2</v>
      </c>
      <c r="C366">
        <v>-2.7299133E-2</v>
      </c>
      <c r="D366">
        <v>-1.0250943E-2</v>
      </c>
      <c r="E366">
        <v>4.1199999999999999E-5</v>
      </c>
      <c r="F366">
        <v>-2.3084590000000023E-3</v>
      </c>
      <c r="G366">
        <v>277.04086766339799</v>
      </c>
    </row>
    <row r="367" spans="1:7" x14ac:dyDescent="0.3">
      <c r="A367">
        <v>1364.5</v>
      </c>
      <c r="B367">
        <v>3.6702336000000002E-2</v>
      </c>
      <c r="C367">
        <v>-2.673555E-2</v>
      </c>
      <c r="D367">
        <v>-1.0344219E-2</v>
      </c>
      <c r="E367">
        <v>4.1199999999999999E-5</v>
      </c>
      <c r="F367">
        <v>-3.3623299999999817E-4</v>
      </c>
      <c r="G367">
        <v>277.145691331281</v>
      </c>
    </row>
    <row r="368" spans="1:7" x14ac:dyDescent="0.3">
      <c r="A368">
        <v>1365.5</v>
      </c>
      <c r="B368">
        <v>3.8391636E-2</v>
      </c>
      <c r="C368">
        <v>-2.6188108000000002E-2</v>
      </c>
      <c r="D368">
        <v>-1.0439220000000001E-2</v>
      </c>
      <c r="E368">
        <v>4.1199999999999999E-5</v>
      </c>
      <c r="F368">
        <v>1.8055079999999973E-3</v>
      </c>
      <c r="G368">
        <v>277.259567835143</v>
      </c>
    </row>
    <row r="369" spans="1:7" x14ac:dyDescent="0.3">
      <c r="A369">
        <v>1366.5</v>
      </c>
      <c r="B369">
        <v>4.0268151000000002E-2</v>
      </c>
      <c r="C369">
        <v>-2.5656819000000001E-2</v>
      </c>
      <c r="D369">
        <v>-1.0535945999999999E-2</v>
      </c>
      <c r="E369">
        <v>4.1199999999999999E-5</v>
      </c>
      <c r="F369">
        <v>4.1165860000000019E-3</v>
      </c>
      <c r="G369">
        <v>277.382496170141</v>
      </c>
    </row>
    <row r="370" spans="1:7" x14ac:dyDescent="0.3">
      <c r="A370">
        <v>1367.5</v>
      </c>
      <c r="B370">
        <v>4.2331695000000003E-2</v>
      </c>
      <c r="C370">
        <v>-2.5145672000000001E-2</v>
      </c>
      <c r="D370">
        <v>-1.0632671E-2</v>
      </c>
      <c r="E370">
        <v>4.1199999999999999E-5</v>
      </c>
      <c r="F370">
        <v>6.5945520000000018E-3</v>
      </c>
      <c r="G370">
        <v>277.51435699289999</v>
      </c>
    </row>
    <row r="371" spans="1:7" x14ac:dyDescent="0.3">
      <c r="A371">
        <v>1368.5</v>
      </c>
      <c r="B371">
        <v>4.4582064999999997E-2</v>
      </c>
      <c r="C371">
        <v>-2.4654596000000001E-2</v>
      </c>
      <c r="D371">
        <v>-1.0729394999999999E-2</v>
      </c>
      <c r="E371">
        <v>4.1199999999999999E-5</v>
      </c>
      <c r="F371">
        <v>9.239273999999997E-3</v>
      </c>
      <c r="G371">
        <v>277.65515484704298</v>
      </c>
    </row>
    <row r="372" spans="1:7" x14ac:dyDescent="0.3">
      <c r="A372">
        <v>1369.5</v>
      </c>
      <c r="B372">
        <v>4.6924825000000003E-2</v>
      </c>
      <c r="C372">
        <v>-2.4187498000000002E-2</v>
      </c>
      <c r="D372">
        <v>-1.0826125000000001E-2</v>
      </c>
      <c r="E372">
        <v>4.1199999999999999E-5</v>
      </c>
      <c r="F372">
        <v>1.1952402000000001E-2</v>
      </c>
      <c r="G372">
        <v>277.79966267560002</v>
      </c>
    </row>
    <row r="373" spans="1:7" x14ac:dyDescent="0.3">
      <c r="A373">
        <v>1370.5</v>
      </c>
      <c r="B373">
        <v>4.9359862999999997E-2</v>
      </c>
      <c r="C373">
        <v>-2.3744382000000001E-2</v>
      </c>
      <c r="D373">
        <v>-1.092459E-2</v>
      </c>
      <c r="E373">
        <v>4.1199999999999999E-5</v>
      </c>
      <c r="F373">
        <v>1.4732090999999996E-2</v>
      </c>
      <c r="G373">
        <v>277.94778724097301</v>
      </c>
    </row>
    <row r="374" spans="1:7" x14ac:dyDescent="0.3">
      <c r="A374">
        <v>1371.5</v>
      </c>
      <c r="B374">
        <v>5.1887990000000002E-2</v>
      </c>
      <c r="C374">
        <v>-2.3325175E-2</v>
      </c>
      <c r="D374">
        <v>-1.1023062E-2</v>
      </c>
      <c r="E374">
        <v>4.1199999999999999E-5</v>
      </c>
      <c r="F374">
        <v>1.7580953E-2</v>
      </c>
      <c r="G374">
        <v>278.09967313804799</v>
      </c>
    </row>
    <row r="375" spans="1:7" x14ac:dyDescent="0.3">
      <c r="A375">
        <v>1372.5</v>
      </c>
      <c r="B375">
        <v>5.4509083E-2</v>
      </c>
      <c r="C375">
        <v>-2.2937748000000001E-2</v>
      </c>
      <c r="D375">
        <v>-1.1121545E-2</v>
      </c>
      <c r="E375">
        <v>4.1199999999999999E-5</v>
      </c>
      <c r="F375">
        <v>2.0490989999999997E-2</v>
      </c>
      <c r="G375">
        <v>278.25489918322501</v>
      </c>
    </row>
    <row r="376" spans="1:7" x14ac:dyDescent="0.3">
      <c r="A376">
        <v>1373.5</v>
      </c>
      <c r="B376">
        <v>5.7222081000000001E-2</v>
      </c>
      <c r="C376">
        <v>-2.2582101E-2</v>
      </c>
      <c r="D376">
        <v>-1.1221768999999999E-2</v>
      </c>
      <c r="E376">
        <v>4.1199999999999999E-5</v>
      </c>
      <c r="F376">
        <v>2.3459410999999999E-2</v>
      </c>
      <c r="G376">
        <v>278.413321480241</v>
      </c>
    </row>
    <row r="377" spans="1:7" x14ac:dyDescent="0.3">
      <c r="A377">
        <v>1374.5</v>
      </c>
      <c r="B377">
        <v>5.9933787000000002E-2</v>
      </c>
      <c r="C377">
        <v>-2.2258199999999999E-2</v>
      </c>
      <c r="D377">
        <v>-1.132201E-2</v>
      </c>
      <c r="E377">
        <v>4.1199999999999999E-5</v>
      </c>
      <c r="F377">
        <v>2.6394777000000001E-2</v>
      </c>
      <c r="G377">
        <v>278.57006102919502</v>
      </c>
    </row>
    <row r="378" spans="1:7" x14ac:dyDescent="0.3">
      <c r="A378">
        <v>1375.5</v>
      </c>
      <c r="B378">
        <v>6.2644200999999997E-2</v>
      </c>
      <c r="C378">
        <v>-2.1966011000000001E-2</v>
      </c>
      <c r="D378">
        <v>-1.1420540999999999E-2</v>
      </c>
      <c r="E378">
        <v>4.1199999999999999E-5</v>
      </c>
      <c r="F378">
        <v>2.9298848999999995E-2</v>
      </c>
      <c r="G378">
        <v>278.72520925750399</v>
      </c>
    </row>
    <row r="379" spans="1:7" x14ac:dyDescent="0.3">
      <c r="A379">
        <v>1376.5</v>
      </c>
      <c r="B379">
        <v>6.5446302999999997E-2</v>
      </c>
      <c r="C379">
        <v>-2.1709394E-2</v>
      </c>
      <c r="D379">
        <v>-1.1519087000000001E-2</v>
      </c>
      <c r="E379">
        <v>4.1199999999999999E-5</v>
      </c>
      <c r="F379">
        <v>3.2259021999999998E-2</v>
      </c>
      <c r="G379">
        <v>278.88343617076498</v>
      </c>
    </row>
    <row r="380" spans="1:7" x14ac:dyDescent="0.3">
      <c r="A380">
        <v>1377.5</v>
      </c>
      <c r="B380">
        <v>6.8153166000000001E-2</v>
      </c>
      <c r="C380">
        <v>-2.1488360000000001E-2</v>
      </c>
      <c r="D380">
        <v>-1.1619389000000001E-2</v>
      </c>
      <c r="E380">
        <v>4.1199999999999999E-5</v>
      </c>
      <c r="F380">
        <v>3.5086617000000007E-2</v>
      </c>
      <c r="G380">
        <v>279.03465344811798</v>
      </c>
    </row>
    <row r="381" spans="1:7" x14ac:dyDescent="0.3">
      <c r="A381">
        <v>1378.5</v>
      </c>
      <c r="B381">
        <v>7.0859670999999999E-2</v>
      </c>
      <c r="C381">
        <v>-2.1306887E-2</v>
      </c>
      <c r="D381">
        <v>-1.1719713999999999E-2</v>
      </c>
      <c r="E381">
        <v>4.1199999999999999E-5</v>
      </c>
      <c r="F381">
        <v>3.7874270000000008E-2</v>
      </c>
      <c r="G381">
        <v>279.18380829234599</v>
      </c>
    </row>
    <row r="382" spans="1:7" x14ac:dyDescent="0.3">
      <c r="A382">
        <v>1379.5</v>
      </c>
      <c r="B382">
        <v>7.3472045E-2</v>
      </c>
      <c r="C382">
        <v>-2.1168836999999999E-2</v>
      </c>
      <c r="D382">
        <v>-1.1820073E-2</v>
      </c>
      <c r="E382">
        <v>4.1199999999999999E-5</v>
      </c>
      <c r="F382">
        <v>4.0524335000000009E-2</v>
      </c>
      <c r="G382">
        <v>279.32566925028198</v>
      </c>
    </row>
    <row r="383" spans="1:7" x14ac:dyDescent="0.3">
      <c r="A383">
        <v>1380.5</v>
      </c>
      <c r="B383">
        <v>7.5989488999999993E-2</v>
      </c>
      <c r="C383">
        <v>-2.1070268E-2</v>
      </c>
      <c r="D383">
        <v>-1.1918734E-2</v>
      </c>
      <c r="E383">
        <v>4.1199999999999999E-5</v>
      </c>
      <c r="F383">
        <v>4.3041686999999995E-2</v>
      </c>
      <c r="G383">
        <v>279.46048710014099</v>
      </c>
    </row>
    <row r="384" spans="1:7" x14ac:dyDescent="0.3">
      <c r="A384">
        <v>1381.5</v>
      </c>
      <c r="B384">
        <v>7.8505821000000003E-2</v>
      </c>
      <c r="C384">
        <v>-2.1015091999999999E-2</v>
      </c>
      <c r="D384">
        <v>-1.2017424000000001E-2</v>
      </c>
      <c r="E384">
        <v>4.1199999999999999E-5</v>
      </c>
      <c r="F384">
        <v>4.5514505000000011E-2</v>
      </c>
      <c r="G384">
        <v>279.59297798800401</v>
      </c>
    </row>
    <row r="385" spans="1:7" x14ac:dyDescent="0.3">
      <c r="A385">
        <v>1382.5</v>
      </c>
      <c r="B385">
        <v>8.0834665999999999E-2</v>
      </c>
      <c r="C385">
        <v>-2.1007224000000001E-2</v>
      </c>
      <c r="D385">
        <v>-1.2116155999999999E-2</v>
      </c>
      <c r="E385">
        <v>4.1199999999999999E-5</v>
      </c>
      <c r="F385">
        <v>4.7752485999999997E-2</v>
      </c>
      <c r="G385">
        <v>279.71293604843402</v>
      </c>
    </row>
    <row r="386" spans="1:7" x14ac:dyDescent="0.3">
      <c r="A386">
        <v>1383.5</v>
      </c>
      <c r="B386">
        <v>8.3069871000000003E-2</v>
      </c>
      <c r="C386">
        <v>-2.1050704E-2</v>
      </c>
      <c r="D386">
        <v>-1.2214930000000001E-2</v>
      </c>
      <c r="E386">
        <v>4.1199999999999999E-5</v>
      </c>
      <c r="F386">
        <v>4.9845437000000006E-2</v>
      </c>
      <c r="G386">
        <v>279.825163096621</v>
      </c>
    </row>
    <row r="387" spans="1:7" x14ac:dyDescent="0.3">
      <c r="A387">
        <v>1384.5</v>
      </c>
      <c r="B387">
        <v>8.5117965000000004E-2</v>
      </c>
      <c r="C387">
        <v>-2.1145461000000001E-2</v>
      </c>
      <c r="D387">
        <v>-1.2313751E-2</v>
      </c>
      <c r="E387">
        <v>4.1199999999999999E-5</v>
      </c>
      <c r="F387">
        <v>5.1699953000000007E-2</v>
      </c>
      <c r="G387">
        <v>279.92463922066997</v>
      </c>
    </row>
    <row r="388" spans="1:7" x14ac:dyDescent="0.3">
      <c r="A388">
        <v>1385.5</v>
      </c>
      <c r="B388">
        <v>8.6979148000000006E-2</v>
      </c>
      <c r="C388">
        <v>-2.1287548E-2</v>
      </c>
      <c r="D388">
        <v>-1.2412618E-2</v>
      </c>
      <c r="E388">
        <v>4.1199999999999999E-5</v>
      </c>
      <c r="F388">
        <v>5.3320182000000008E-2</v>
      </c>
      <c r="G388">
        <v>280.01157464615699</v>
      </c>
    </row>
    <row r="389" spans="1:7" x14ac:dyDescent="0.3">
      <c r="A389">
        <v>1386.5</v>
      </c>
      <c r="B389">
        <v>8.8653604999999996E-2</v>
      </c>
      <c r="C389">
        <v>-2.1480987999999999E-2</v>
      </c>
      <c r="D389">
        <v>-1.2511535000000001E-2</v>
      </c>
      <c r="E389">
        <v>4.1199999999999999E-5</v>
      </c>
      <c r="F389">
        <v>5.4702281999999991E-2</v>
      </c>
      <c r="G389">
        <v>280.08575231440199</v>
      </c>
    </row>
    <row r="390" spans="1:7" x14ac:dyDescent="0.3">
      <c r="A390">
        <v>1387.5</v>
      </c>
      <c r="B390">
        <v>9.0141498E-2</v>
      </c>
      <c r="C390">
        <v>-2.1733702000000001E-2</v>
      </c>
      <c r="D390">
        <v>-1.2608777999999999E-2</v>
      </c>
      <c r="E390">
        <v>4.1199999999999999E-5</v>
      </c>
      <c r="F390">
        <v>5.5840217999999997E-2</v>
      </c>
      <c r="G390">
        <v>280.14683897821902</v>
      </c>
    </row>
    <row r="391" spans="1:7" x14ac:dyDescent="0.3">
      <c r="A391">
        <v>1388.5</v>
      </c>
      <c r="B391">
        <v>9.1442973999999996E-2</v>
      </c>
      <c r="C391">
        <v>-2.2045736E-2</v>
      </c>
      <c r="D391">
        <v>-1.2704349E-2</v>
      </c>
      <c r="E391">
        <v>4.1199999999999999E-5</v>
      </c>
      <c r="F391">
        <v>5.6734089000000001E-2</v>
      </c>
      <c r="G391">
        <v>280.19483205924399</v>
      </c>
    </row>
    <row r="392" spans="1:7" x14ac:dyDescent="0.3">
      <c r="A392">
        <v>1389.5</v>
      </c>
      <c r="B392">
        <v>9.2465624999999996E-2</v>
      </c>
      <c r="C392">
        <v>-2.2413183E-2</v>
      </c>
      <c r="D392">
        <v>-1.2799981E-2</v>
      </c>
      <c r="E392">
        <v>4.1199999999999999E-5</v>
      </c>
      <c r="F392">
        <v>5.7293660999999996E-2</v>
      </c>
      <c r="G392">
        <v>280.224879690347</v>
      </c>
    </row>
    <row r="393" spans="1:7" x14ac:dyDescent="0.3">
      <c r="A393">
        <v>1390.5</v>
      </c>
      <c r="B393">
        <v>9.3209602000000003E-2</v>
      </c>
      <c r="C393">
        <v>-2.2840035000000002E-2</v>
      </c>
      <c r="D393">
        <v>-1.2895678000000001E-2</v>
      </c>
      <c r="E393">
        <v>4.1199999999999999E-5</v>
      </c>
      <c r="F393">
        <v>5.7515088999999998E-2</v>
      </c>
      <c r="G393">
        <v>280.236769937617</v>
      </c>
    </row>
    <row r="394" spans="1:7" x14ac:dyDescent="0.3">
      <c r="A394">
        <v>1391.5</v>
      </c>
      <c r="B394">
        <v>9.3674087000000003E-2</v>
      </c>
      <c r="C394">
        <v>-2.3334313999999998E-2</v>
      </c>
      <c r="D394">
        <v>-1.2989717E-2</v>
      </c>
      <c r="E394">
        <v>4.1199999999999999E-5</v>
      </c>
      <c r="F394">
        <v>5.7391256000000015E-2</v>
      </c>
      <c r="G394">
        <v>280.23011866114399</v>
      </c>
    </row>
    <row r="395" spans="1:7" x14ac:dyDescent="0.3">
      <c r="A395">
        <v>1392.5</v>
      </c>
      <c r="B395">
        <v>9.3860075000000001E-2</v>
      </c>
      <c r="C395">
        <v>-2.3888215000000001E-2</v>
      </c>
      <c r="D395">
        <v>-1.3083824000000001E-2</v>
      </c>
      <c r="E395">
        <v>4.1199999999999999E-5</v>
      </c>
      <c r="F395">
        <v>5.6929236000000001E-2</v>
      </c>
      <c r="G395">
        <v>280.205306836354</v>
      </c>
    </row>
    <row r="396" spans="1:7" x14ac:dyDescent="0.3">
      <c r="A396">
        <v>1393.5</v>
      </c>
      <c r="B396">
        <v>9.3766666999999998E-2</v>
      </c>
      <c r="C396">
        <v>-2.4489914000000002E-2</v>
      </c>
      <c r="D396">
        <v>-1.3177990000000001E-2</v>
      </c>
      <c r="E396">
        <v>4.1199999999999999E-5</v>
      </c>
      <c r="F396">
        <v>5.6139963000000001E-2</v>
      </c>
      <c r="G396">
        <v>280.16292594952</v>
      </c>
    </row>
    <row r="397" spans="1:7" x14ac:dyDescent="0.3">
      <c r="A397">
        <v>1394.5</v>
      </c>
      <c r="B397">
        <v>9.3487294999999998E-2</v>
      </c>
      <c r="C397">
        <v>-2.5131619000000001E-2</v>
      </c>
      <c r="D397">
        <v>-1.3270478E-2</v>
      </c>
      <c r="E397">
        <v>4.1199999999999999E-5</v>
      </c>
      <c r="F397">
        <v>5.5126398000000007E-2</v>
      </c>
      <c r="G397">
        <v>280.10851050770299</v>
      </c>
    </row>
    <row r="398" spans="1:7" x14ac:dyDescent="0.3">
      <c r="A398">
        <v>1395.5</v>
      </c>
      <c r="B398">
        <v>9.3116307999999995E-2</v>
      </c>
      <c r="C398">
        <v>-2.5801543999999999E-2</v>
      </c>
      <c r="D398">
        <v>-1.3361270999999999E-2</v>
      </c>
      <c r="E398">
        <v>4.1199999999999999E-5</v>
      </c>
      <c r="F398">
        <v>5.3994693000000003E-2</v>
      </c>
      <c r="G398">
        <v>280.047764087524</v>
      </c>
    </row>
    <row r="399" spans="1:7" x14ac:dyDescent="0.3">
      <c r="A399">
        <v>1396.5</v>
      </c>
      <c r="B399">
        <v>9.2559303999999995E-2</v>
      </c>
      <c r="C399">
        <v>-2.6487796000000001E-2</v>
      </c>
      <c r="D399">
        <v>-1.3452099E-2</v>
      </c>
      <c r="E399">
        <v>4.1199999999999999E-5</v>
      </c>
      <c r="F399">
        <v>5.2660609000000004E-2</v>
      </c>
      <c r="G399">
        <v>279.97617038419099</v>
      </c>
    </row>
    <row r="400" spans="1:7" x14ac:dyDescent="0.3">
      <c r="A400">
        <v>1397.5</v>
      </c>
      <c r="B400">
        <v>9.1722754000000004E-2</v>
      </c>
      <c r="C400">
        <v>-2.7178486000000002E-2</v>
      </c>
      <c r="D400">
        <v>-1.3541229E-2</v>
      </c>
      <c r="E400">
        <v>4.1199999999999999E-5</v>
      </c>
      <c r="F400">
        <v>5.1044239000000005E-2</v>
      </c>
      <c r="G400">
        <v>279.889450555221</v>
      </c>
    </row>
    <row r="401" spans="1:7" x14ac:dyDescent="0.3">
      <c r="A401">
        <v>1398.5</v>
      </c>
      <c r="B401">
        <v>9.0700027000000003E-2</v>
      </c>
      <c r="C401">
        <v>-2.7865681999999999E-2</v>
      </c>
      <c r="D401">
        <v>-1.3628649E-2</v>
      </c>
      <c r="E401">
        <v>4.1199999999999999E-5</v>
      </c>
      <c r="F401">
        <v>4.9246896000000005E-2</v>
      </c>
      <c r="G401">
        <v>279.79305041168999</v>
      </c>
    </row>
    <row r="402" spans="1:7" x14ac:dyDescent="0.3">
      <c r="A402">
        <v>1399.5</v>
      </c>
      <c r="B402">
        <v>8.9583605999999996E-2</v>
      </c>
      <c r="C402">
        <v>-2.8533524000000001E-2</v>
      </c>
      <c r="D402">
        <v>-1.3716071999999999E-2</v>
      </c>
      <c r="E402">
        <v>4.1199999999999999E-5</v>
      </c>
      <c r="F402">
        <v>4.7375210000000001E-2</v>
      </c>
      <c r="G402">
        <v>279.69269545502999</v>
      </c>
    </row>
    <row r="403" spans="1:7" x14ac:dyDescent="0.3">
      <c r="A403">
        <v>1400.5</v>
      </c>
      <c r="B403">
        <v>8.8374361999999998E-2</v>
      </c>
      <c r="C403">
        <v>-2.9166028E-2</v>
      </c>
      <c r="D403">
        <v>-1.3801756E-2</v>
      </c>
      <c r="E403">
        <v>4.1199999999999999E-5</v>
      </c>
      <c r="F403">
        <v>4.5447778000000008E-2</v>
      </c>
      <c r="G403">
        <v>279.58938623964701</v>
      </c>
    </row>
    <row r="404" spans="1:7" x14ac:dyDescent="0.3">
      <c r="A404">
        <v>1401.5</v>
      </c>
      <c r="B404">
        <v>8.7072235999999997E-2</v>
      </c>
      <c r="C404">
        <v>-2.9759086000000001E-2</v>
      </c>
      <c r="D404">
        <v>-1.3885524E-2</v>
      </c>
      <c r="E404">
        <v>4.1199999999999999E-5</v>
      </c>
      <c r="F404">
        <v>4.3468826000000002E-2</v>
      </c>
      <c r="G404">
        <v>279.48335209738701</v>
      </c>
    </row>
    <row r="405" spans="1:7" x14ac:dyDescent="0.3">
      <c r="A405">
        <v>1402.5</v>
      </c>
      <c r="B405">
        <v>8.5676237000000002E-2</v>
      </c>
      <c r="C405">
        <v>-3.0296782000000001E-2</v>
      </c>
      <c r="D405">
        <v>-1.3967535999999999E-2</v>
      </c>
      <c r="E405">
        <v>4.1199999999999999E-5</v>
      </c>
      <c r="F405">
        <v>4.145311900000001E-2</v>
      </c>
      <c r="G405">
        <v>279.37538669951999</v>
      </c>
    </row>
    <row r="406" spans="1:7" x14ac:dyDescent="0.3">
      <c r="A406">
        <v>1403.5</v>
      </c>
      <c r="B406">
        <v>8.4187224000000005E-2</v>
      </c>
      <c r="C406">
        <v>-3.0767016000000001E-2</v>
      </c>
      <c r="D406">
        <v>-1.4047956E-2</v>
      </c>
      <c r="E406">
        <v>4.1199999999999999E-5</v>
      </c>
      <c r="F406">
        <v>3.9413452000000009E-2</v>
      </c>
      <c r="G406">
        <v>279.266176996963</v>
      </c>
    </row>
    <row r="407" spans="1:7" x14ac:dyDescent="0.3">
      <c r="A407">
        <v>1404.5</v>
      </c>
      <c r="B407">
        <v>8.2697820000000005E-2</v>
      </c>
      <c r="C407">
        <v>-3.1161721999999999E-2</v>
      </c>
      <c r="D407">
        <v>-1.4128328000000001E-2</v>
      </c>
      <c r="E407">
        <v>4.1199999999999999E-5</v>
      </c>
      <c r="F407">
        <v>3.7448970000000005E-2</v>
      </c>
      <c r="G407">
        <v>279.16103003099101</v>
      </c>
    </row>
    <row r="408" spans="1:7" x14ac:dyDescent="0.3">
      <c r="A408">
        <v>1405.5</v>
      </c>
      <c r="B408">
        <v>8.1208024000000004E-2</v>
      </c>
      <c r="C408">
        <v>-3.1468867999999997E-2</v>
      </c>
      <c r="D408">
        <v>-1.4206910999999999E-2</v>
      </c>
      <c r="E408">
        <v>4.1199999999999999E-5</v>
      </c>
      <c r="F408">
        <v>3.5573445000000009E-2</v>
      </c>
      <c r="G408">
        <v>279.06067839245998</v>
      </c>
    </row>
    <row r="409" spans="1:7" x14ac:dyDescent="0.3">
      <c r="A409">
        <v>1406.5</v>
      </c>
      <c r="B409">
        <v>7.9717836E-2</v>
      </c>
      <c r="C409">
        <v>-3.1676349999999999E-2</v>
      </c>
      <c r="D409">
        <v>-1.4281791E-2</v>
      </c>
      <c r="E409">
        <v>4.1199999999999999E-5</v>
      </c>
      <c r="F409">
        <v>3.3800895000000004E-2</v>
      </c>
      <c r="G409">
        <v>278.96586702106498</v>
      </c>
    </row>
    <row r="410" spans="1:7" x14ac:dyDescent="0.3">
      <c r="A410">
        <v>1407.5</v>
      </c>
      <c r="B410">
        <v>7.8227255999999995E-2</v>
      </c>
      <c r="C410">
        <v>-3.1764153000000003E-2</v>
      </c>
      <c r="D410">
        <v>-1.4354854E-2</v>
      </c>
      <c r="E410">
        <v>4.1199999999999999E-5</v>
      </c>
      <c r="F410">
        <v>3.2149448999999997E-2</v>
      </c>
      <c r="G410">
        <v>278.877559982028</v>
      </c>
    </row>
    <row r="411" spans="1:7" x14ac:dyDescent="0.3">
      <c r="A411">
        <v>1408.5</v>
      </c>
      <c r="B411">
        <v>7.6736284000000002E-2</v>
      </c>
      <c r="C411">
        <v>-3.1728277999999999E-2</v>
      </c>
      <c r="D411">
        <v>-1.4428002000000001E-2</v>
      </c>
      <c r="E411">
        <v>4.1199999999999999E-5</v>
      </c>
      <c r="F411">
        <v>3.0621203999999999E-2</v>
      </c>
      <c r="G411">
        <v>278.79586379924399</v>
      </c>
    </row>
    <row r="412" spans="1:7" x14ac:dyDescent="0.3">
      <c r="A412">
        <v>1409.5</v>
      </c>
      <c r="B412">
        <v>7.5337738000000001E-2</v>
      </c>
      <c r="C412">
        <v>-3.1560802999999998E-2</v>
      </c>
      <c r="D412">
        <v>-1.4499313999999999E-2</v>
      </c>
      <c r="E412">
        <v>4.1199999999999999E-5</v>
      </c>
      <c r="F412">
        <v>2.9318821000000002E-2</v>
      </c>
      <c r="G412">
        <v>278.72625882160798</v>
      </c>
    </row>
    <row r="413" spans="1:7" x14ac:dyDescent="0.3">
      <c r="A413">
        <v>1410.5</v>
      </c>
      <c r="B413">
        <v>7.4032610999999998E-2</v>
      </c>
      <c r="C413">
        <v>-3.1241814E-2</v>
      </c>
      <c r="D413">
        <v>-1.4566871E-2</v>
      </c>
      <c r="E413">
        <v>4.1199999999999999E-5</v>
      </c>
      <c r="F413">
        <v>2.8265125999999995E-2</v>
      </c>
      <c r="G413">
        <v>278.66995664404197</v>
      </c>
    </row>
    <row r="414" spans="1:7" x14ac:dyDescent="0.3">
      <c r="A414">
        <v>1411.5</v>
      </c>
      <c r="B414">
        <v>7.2727185E-2</v>
      </c>
      <c r="C414">
        <v>-3.0759493999999998E-2</v>
      </c>
      <c r="D414">
        <v>-1.4632571E-2</v>
      </c>
      <c r="E414">
        <v>4.1199999999999999E-5</v>
      </c>
      <c r="F414">
        <v>2.7376319999999999E-2</v>
      </c>
      <c r="G414">
        <v>278.62247291801202</v>
      </c>
    </row>
    <row r="415" spans="1:7" x14ac:dyDescent="0.3">
      <c r="A415">
        <v>1412.5</v>
      </c>
      <c r="B415">
        <v>7.1514336999999997E-2</v>
      </c>
      <c r="C415">
        <v>-3.0110129999999999E-2</v>
      </c>
      <c r="D415">
        <v>-1.4698309E-2</v>
      </c>
      <c r="E415">
        <v>4.1199999999999999E-5</v>
      </c>
      <c r="F415">
        <v>2.6747097999999997E-2</v>
      </c>
      <c r="G415">
        <v>278.58886173768701</v>
      </c>
    </row>
    <row r="416" spans="1:7" x14ac:dyDescent="0.3">
      <c r="A416">
        <v>1413.5</v>
      </c>
      <c r="B416">
        <v>7.0487950999999993E-2</v>
      </c>
      <c r="C416">
        <v>-2.9306004E-2</v>
      </c>
      <c r="D416">
        <v>-1.4760275E-2</v>
      </c>
      <c r="E416">
        <v>4.1199999999999999E-5</v>
      </c>
      <c r="F416">
        <v>2.6462871999999995E-2</v>
      </c>
      <c r="G416">
        <v>278.57368027642701</v>
      </c>
    </row>
    <row r="417" spans="1:7" x14ac:dyDescent="0.3">
      <c r="A417">
        <v>1414.5</v>
      </c>
      <c r="B417">
        <v>6.9555220000000001E-2</v>
      </c>
      <c r="C417">
        <v>-2.8371338999999999E-2</v>
      </c>
      <c r="D417">
        <v>-1.4818668E-2</v>
      </c>
      <c r="E417">
        <v>4.1199999999999999E-5</v>
      </c>
      <c r="F417">
        <v>2.6406413000000004E-2</v>
      </c>
      <c r="G417">
        <v>278.570664501826</v>
      </c>
    </row>
    <row r="418" spans="1:7" x14ac:dyDescent="0.3">
      <c r="A418">
        <v>1415.5</v>
      </c>
      <c r="B418">
        <v>6.871526E-2</v>
      </c>
      <c r="C418">
        <v>-2.7334312999999999E-2</v>
      </c>
      <c r="D418">
        <v>-1.487697E-2</v>
      </c>
      <c r="E418">
        <v>4.1199999999999999E-5</v>
      </c>
      <c r="F418">
        <v>2.6545177E-2</v>
      </c>
      <c r="G418">
        <v>278.57807570725299</v>
      </c>
    </row>
    <row r="419" spans="1:7" x14ac:dyDescent="0.3">
      <c r="A419">
        <v>1416.5</v>
      </c>
      <c r="B419">
        <v>6.8061047999999999E-2</v>
      </c>
      <c r="C419">
        <v>-2.6215091999999999E-2</v>
      </c>
      <c r="D419">
        <v>-1.4931727000000001E-2</v>
      </c>
      <c r="E419">
        <v>4.1199999999999999E-5</v>
      </c>
      <c r="F419">
        <v>2.6955429000000003E-2</v>
      </c>
      <c r="G419">
        <v>278.599988437668</v>
      </c>
    </row>
    <row r="420" spans="1:7" x14ac:dyDescent="0.3">
      <c r="A420">
        <v>1417.5</v>
      </c>
      <c r="B420">
        <v>6.7594507999999998E-2</v>
      </c>
      <c r="C420">
        <v>-2.5041654999999999E-2</v>
      </c>
      <c r="D420">
        <v>-1.4983132999999999E-2</v>
      </c>
      <c r="E420">
        <v>4.1199999999999999E-5</v>
      </c>
      <c r="F420">
        <v>2.7610920000000001E-2</v>
      </c>
      <c r="G420">
        <v>278.63500348310498</v>
      </c>
    </row>
    <row r="421" spans="1:7" x14ac:dyDescent="0.3">
      <c r="A421">
        <v>1418.5</v>
      </c>
      <c r="B421">
        <v>6.7221806999999995E-2</v>
      </c>
      <c r="C421">
        <v>-2.3845910000000001E-2</v>
      </c>
      <c r="D421">
        <v>-1.5030874E-2</v>
      </c>
      <c r="E421">
        <v>4.1199999999999999E-5</v>
      </c>
      <c r="F421">
        <v>2.8386222999999995E-2</v>
      </c>
      <c r="G421">
        <v>278.67642403604998</v>
      </c>
    </row>
    <row r="422" spans="1:7" x14ac:dyDescent="0.3">
      <c r="A422">
        <v>1419.5</v>
      </c>
      <c r="B422">
        <v>6.6941105000000001E-2</v>
      </c>
      <c r="C422">
        <v>-2.2647704000000001E-2</v>
      </c>
      <c r="D422">
        <v>-1.5074964999999999E-2</v>
      </c>
      <c r="E422">
        <v>4.1199999999999999E-5</v>
      </c>
      <c r="F422">
        <v>2.9259635999999995E-2</v>
      </c>
      <c r="G422">
        <v>278.72309284826298</v>
      </c>
    </row>
    <row r="423" spans="1:7" x14ac:dyDescent="0.3">
      <c r="A423">
        <v>1420.5</v>
      </c>
      <c r="B423">
        <v>6.6941115999999995E-2</v>
      </c>
      <c r="C423">
        <v>-2.1474641999999999E-2</v>
      </c>
      <c r="D423">
        <v>-1.5117492999999999E-2</v>
      </c>
      <c r="E423">
        <v>4.1199999999999999E-5</v>
      </c>
      <c r="F423">
        <v>3.0390180999999992E-2</v>
      </c>
      <c r="G423">
        <v>278.78351167770802</v>
      </c>
    </row>
    <row r="424" spans="1:7" x14ac:dyDescent="0.3">
      <c r="A424">
        <v>1421.5</v>
      </c>
      <c r="B424">
        <v>6.7127959000000001E-2</v>
      </c>
      <c r="C424">
        <v>-2.0354229000000001E-2</v>
      </c>
      <c r="D424">
        <v>-1.5156582E-2</v>
      </c>
      <c r="E424">
        <v>4.1199999999999999E-5</v>
      </c>
      <c r="F424">
        <v>3.1658348000000003E-2</v>
      </c>
      <c r="G424">
        <v>278.85129965045002</v>
      </c>
    </row>
    <row r="425" spans="1:7" x14ac:dyDescent="0.3">
      <c r="A425">
        <v>1422.5</v>
      </c>
      <c r="B425">
        <v>6.7500687000000004E-2</v>
      </c>
      <c r="C425">
        <v>-1.9313892999999999E-2</v>
      </c>
      <c r="D425">
        <v>-1.5192255E-2</v>
      </c>
      <c r="E425">
        <v>4.1199999999999999E-5</v>
      </c>
      <c r="F425">
        <v>3.3035739000000008E-2</v>
      </c>
      <c r="G425">
        <v>278.92494326175699</v>
      </c>
    </row>
    <row r="426" spans="1:7" x14ac:dyDescent="0.3">
      <c r="A426">
        <v>1423.5</v>
      </c>
      <c r="B426">
        <v>6.8061122000000002E-2</v>
      </c>
      <c r="C426">
        <v>-1.8376968E-2</v>
      </c>
      <c r="D426">
        <v>-1.5224530999999999E-2</v>
      </c>
      <c r="E426">
        <v>4.1199999999999999E-5</v>
      </c>
      <c r="F426">
        <v>3.4500823000000007E-2</v>
      </c>
      <c r="G426">
        <v>279.00329508199701</v>
      </c>
    </row>
    <row r="427" spans="1:7" x14ac:dyDescent="0.3">
      <c r="A427">
        <v>1424.5</v>
      </c>
      <c r="B427">
        <v>6.8808279999999999E-2</v>
      </c>
      <c r="C427">
        <v>-1.7566728E-2</v>
      </c>
      <c r="D427">
        <v>-1.5253256999999999E-2</v>
      </c>
      <c r="E427">
        <v>4.1199999999999999E-5</v>
      </c>
      <c r="F427">
        <v>3.6029495000000002E-2</v>
      </c>
      <c r="G427">
        <v>279.085069121647</v>
      </c>
    </row>
    <row r="428" spans="1:7" x14ac:dyDescent="0.3">
      <c r="A428">
        <v>1425.5</v>
      </c>
      <c r="B428">
        <v>6.9834991999999999E-2</v>
      </c>
      <c r="C428">
        <v>-1.6914340999999999E-2</v>
      </c>
      <c r="D428">
        <v>-1.5276893E-2</v>
      </c>
      <c r="E428">
        <v>4.1199999999999999E-5</v>
      </c>
      <c r="F428">
        <v>3.7684958000000005E-2</v>
      </c>
      <c r="G428">
        <v>279.17365058410098</v>
      </c>
    </row>
    <row r="429" spans="1:7" x14ac:dyDescent="0.3">
      <c r="A429">
        <v>1426.5</v>
      </c>
      <c r="B429">
        <v>7.1048223999999993E-2</v>
      </c>
      <c r="C429">
        <v>-1.6442996000000001E-2</v>
      </c>
      <c r="D429">
        <v>-1.5297369999999999E-2</v>
      </c>
      <c r="E429">
        <v>4.1199999999999999E-5</v>
      </c>
      <c r="F429">
        <v>3.9349057999999999E-2</v>
      </c>
      <c r="G429">
        <v>279.262720113868</v>
      </c>
    </row>
    <row r="430" spans="1:7" x14ac:dyDescent="0.3">
      <c r="A430">
        <v>1427.5</v>
      </c>
      <c r="B430">
        <v>7.2540718000000004E-2</v>
      </c>
      <c r="C430">
        <v>-1.6172065999999999E-2</v>
      </c>
      <c r="D430">
        <v>-1.5314525000000001E-2</v>
      </c>
      <c r="E430">
        <v>4.1199999999999999E-5</v>
      </c>
      <c r="F430">
        <v>4.1095327000000008E-2</v>
      </c>
      <c r="G430">
        <v>279.35621582175901</v>
      </c>
    </row>
    <row r="431" spans="1:7" x14ac:dyDescent="0.3">
      <c r="A431">
        <v>1428.5</v>
      </c>
      <c r="B431">
        <v>7.4219418999999995E-2</v>
      </c>
      <c r="C431">
        <v>-1.6132804000000001E-2</v>
      </c>
      <c r="D431">
        <v>-1.5326486E-2</v>
      </c>
      <c r="E431">
        <v>4.1199999999999999E-5</v>
      </c>
      <c r="F431">
        <v>4.2801328999999999E-2</v>
      </c>
      <c r="G431">
        <v>279.44758348229601</v>
      </c>
    </row>
    <row r="432" spans="1:7" x14ac:dyDescent="0.3">
      <c r="A432">
        <v>1429.5</v>
      </c>
      <c r="B432">
        <v>7.6176966999999998E-2</v>
      </c>
      <c r="C432">
        <v>-1.6356610000000001E-2</v>
      </c>
      <c r="D432">
        <v>-1.5335176000000001E-2</v>
      </c>
      <c r="E432">
        <v>4.1199999999999999E-5</v>
      </c>
      <c r="F432">
        <v>4.4526381000000004E-2</v>
      </c>
      <c r="G432">
        <v>279.53999927887799</v>
      </c>
    </row>
    <row r="433" spans="1:7" x14ac:dyDescent="0.3">
      <c r="A433">
        <v>1430.5</v>
      </c>
      <c r="B433">
        <v>7.8414000999999997E-2</v>
      </c>
      <c r="C433">
        <v>-1.6788668E-2</v>
      </c>
      <c r="D433">
        <v>-1.533882E-2</v>
      </c>
      <c r="E433">
        <v>4.1199999999999999E-5</v>
      </c>
      <c r="F433">
        <v>4.6327713000000006E-2</v>
      </c>
      <c r="G433">
        <v>279.636531580341</v>
      </c>
    </row>
    <row r="434" spans="1:7" x14ac:dyDescent="0.3">
      <c r="A434">
        <v>1431.5</v>
      </c>
      <c r="B434">
        <v>8.0836537999999999E-2</v>
      </c>
      <c r="C434">
        <v>-1.7236586000000002E-2</v>
      </c>
      <c r="D434">
        <v>-1.533727E-2</v>
      </c>
      <c r="E434">
        <v>4.1199999999999999E-5</v>
      </c>
      <c r="F434">
        <v>4.8303882000000006E-2</v>
      </c>
      <c r="G434">
        <v>279.742468509449</v>
      </c>
    </row>
    <row r="435" spans="1:7" x14ac:dyDescent="0.3">
      <c r="A435">
        <v>1432.5</v>
      </c>
      <c r="B435">
        <v>8.3443412999999994E-2</v>
      </c>
      <c r="C435">
        <v>-1.7570713000000002E-2</v>
      </c>
      <c r="D435">
        <v>-1.5330422E-2</v>
      </c>
      <c r="E435">
        <v>4.1199999999999999E-5</v>
      </c>
      <c r="F435">
        <v>5.0583478000000001E-2</v>
      </c>
      <c r="G435">
        <v>279.864717262927</v>
      </c>
    </row>
    <row r="436" spans="1:7" x14ac:dyDescent="0.3">
      <c r="A436">
        <v>1433.5</v>
      </c>
      <c r="B436">
        <v>8.6142658999999996E-2</v>
      </c>
      <c r="C436">
        <v>-1.779093E-2</v>
      </c>
      <c r="D436">
        <v>-1.5318282000000001E-2</v>
      </c>
      <c r="E436">
        <v>4.1199999999999999E-5</v>
      </c>
      <c r="F436">
        <v>5.3074647000000003E-2</v>
      </c>
      <c r="G436">
        <v>279.99836825168097</v>
      </c>
    </row>
    <row r="437" spans="1:7" x14ac:dyDescent="0.3">
      <c r="A437">
        <v>1434.5</v>
      </c>
      <c r="B437">
        <v>8.8933218999999994E-2</v>
      </c>
      <c r="C437">
        <v>-1.7912804000000001E-2</v>
      </c>
      <c r="D437">
        <v>-1.5302593999999999E-2</v>
      </c>
      <c r="E437">
        <v>4.1199999999999999E-5</v>
      </c>
      <c r="F437">
        <v>5.5759020999999992E-2</v>
      </c>
      <c r="G437">
        <v>280.14245028124998</v>
      </c>
    </row>
    <row r="438" spans="1:7" x14ac:dyDescent="0.3">
      <c r="A438">
        <v>1435.5</v>
      </c>
      <c r="B438">
        <v>9.1814958000000002E-2</v>
      </c>
      <c r="C438">
        <v>-1.7948184999999998E-2</v>
      </c>
      <c r="D438">
        <v>-1.5281464999999999E-2</v>
      </c>
      <c r="E438">
        <v>4.1199999999999999E-5</v>
      </c>
      <c r="F438">
        <v>5.8626508000000001E-2</v>
      </c>
      <c r="G438">
        <v>280.29643612602098</v>
      </c>
    </row>
    <row r="439" spans="1:7" x14ac:dyDescent="0.3">
      <c r="A439">
        <v>1436.5</v>
      </c>
      <c r="B439">
        <v>9.4789584999999996E-2</v>
      </c>
      <c r="C439">
        <v>-1.7900972000000001E-2</v>
      </c>
      <c r="D439">
        <v>-1.5253340000000001E-2</v>
      </c>
      <c r="E439">
        <v>4.1199999999999999E-5</v>
      </c>
      <c r="F439">
        <v>6.1676472999999996E-2</v>
      </c>
      <c r="G439">
        <v>280.46030653106999</v>
      </c>
    </row>
    <row r="440" spans="1:7" x14ac:dyDescent="0.3">
      <c r="A440">
        <v>1437.5</v>
      </c>
      <c r="B440">
        <v>9.7669278999999998E-2</v>
      </c>
      <c r="C440">
        <v>-1.7790845E-2</v>
      </c>
      <c r="D440">
        <v>-1.5220153E-2</v>
      </c>
      <c r="E440">
        <v>4.1199999999999999E-5</v>
      </c>
      <c r="F440">
        <v>6.4699480999999989E-2</v>
      </c>
      <c r="G440">
        <v>280.62281540531598</v>
      </c>
    </row>
    <row r="441" spans="1:7" x14ac:dyDescent="0.3">
      <c r="A441">
        <v>1438.5</v>
      </c>
      <c r="B441">
        <v>0.100454184</v>
      </c>
      <c r="C441">
        <v>-1.7629632999999999E-2</v>
      </c>
      <c r="D441">
        <v>-1.5181569000000001E-2</v>
      </c>
      <c r="E441">
        <v>4.1199999999999999E-5</v>
      </c>
      <c r="F441">
        <v>6.7684181999999982E-2</v>
      </c>
      <c r="G441">
        <v>280.78334995779602</v>
      </c>
    </row>
    <row r="442" spans="1:7" x14ac:dyDescent="0.3">
      <c r="A442">
        <v>1439.5</v>
      </c>
      <c r="B442">
        <v>0.103238646</v>
      </c>
      <c r="C442">
        <v>-1.7425176000000001E-2</v>
      </c>
      <c r="D442">
        <v>-1.513603E-2</v>
      </c>
      <c r="E442">
        <v>4.1199999999999999E-5</v>
      </c>
      <c r="F442">
        <v>7.0718639999999999E-2</v>
      </c>
      <c r="G442">
        <v>280.946647257812</v>
      </c>
    </row>
    <row r="443" spans="1:7" x14ac:dyDescent="0.3">
      <c r="A443">
        <v>1440.5</v>
      </c>
      <c r="B443">
        <v>0.10592850299999999</v>
      </c>
      <c r="C443">
        <v>-1.7193251999999999E-2</v>
      </c>
      <c r="D443">
        <v>-1.5085288000000001E-2</v>
      </c>
      <c r="E443">
        <v>4.1199999999999999E-5</v>
      </c>
      <c r="F443">
        <v>7.3691162999999976E-2</v>
      </c>
      <c r="G443">
        <v>281.10669631466101</v>
      </c>
    </row>
    <row r="444" spans="1:7" x14ac:dyDescent="0.3">
      <c r="A444">
        <v>1441.5</v>
      </c>
      <c r="B444">
        <v>0.10843161</v>
      </c>
      <c r="C444">
        <v>-1.6945637E-2</v>
      </c>
      <c r="D444">
        <v>-1.5027629000000001E-2</v>
      </c>
      <c r="E444">
        <v>4.1199999999999999E-5</v>
      </c>
      <c r="F444">
        <v>7.6499543999999989E-2</v>
      </c>
      <c r="G444">
        <v>281.25798455334598</v>
      </c>
    </row>
    <row r="445" spans="1:7" x14ac:dyDescent="0.3">
      <c r="A445">
        <v>1442.5</v>
      </c>
      <c r="B445">
        <v>0.11084045200000001</v>
      </c>
      <c r="C445">
        <v>-1.6694177000000001E-2</v>
      </c>
      <c r="D445">
        <v>-1.4963056000000001E-2</v>
      </c>
      <c r="E445">
        <v>4.1199999999999999E-5</v>
      </c>
      <c r="F445">
        <v>7.922441899999999E-2</v>
      </c>
      <c r="G445">
        <v>281.40484593634301</v>
      </c>
    </row>
    <row r="446" spans="1:7" x14ac:dyDescent="0.3">
      <c r="A446">
        <v>1443.5</v>
      </c>
      <c r="B446">
        <v>0.112970744</v>
      </c>
      <c r="C446">
        <v>-1.6450666999999999E-2</v>
      </c>
      <c r="D446">
        <v>-1.4893151E-2</v>
      </c>
      <c r="E446">
        <v>4.1199999999999999E-5</v>
      </c>
      <c r="F446">
        <v>8.166812599999998E-2</v>
      </c>
      <c r="G446">
        <v>281.53661344097202</v>
      </c>
    </row>
    <row r="447" spans="1:7" x14ac:dyDescent="0.3">
      <c r="A447">
        <v>1444.5</v>
      </c>
      <c r="B447">
        <v>0.114822798</v>
      </c>
      <c r="C447">
        <v>-1.6226813E-2</v>
      </c>
      <c r="D447">
        <v>-1.4818097000000001E-2</v>
      </c>
      <c r="E447">
        <v>4.1199999999999999E-5</v>
      </c>
      <c r="F447">
        <v>8.3819087999999986E-2</v>
      </c>
      <c r="G447">
        <v>281.652642949766</v>
      </c>
    </row>
    <row r="448" spans="1:7" x14ac:dyDescent="0.3">
      <c r="A448">
        <v>1445.5</v>
      </c>
      <c r="B448">
        <v>0.11639596300000001</v>
      </c>
      <c r="C448">
        <v>-1.6030484000000001E-2</v>
      </c>
      <c r="D448">
        <v>-1.4736169E-2</v>
      </c>
      <c r="E448">
        <v>4.1199999999999999E-5</v>
      </c>
      <c r="F448">
        <v>8.5670510000000005E-2</v>
      </c>
      <c r="G448">
        <v>281.75254980024999</v>
      </c>
    </row>
    <row r="449" spans="1:7" x14ac:dyDescent="0.3">
      <c r="A449">
        <v>1446.5</v>
      </c>
      <c r="B449">
        <v>0.117599262</v>
      </c>
      <c r="C449">
        <v>-1.5877387999999999E-2</v>
      </c>
      <c r="D449">
        <v>-1.4645656999999999E-2</v>
      </c>
      <c r="E449">
        <v>4.1199999999999999E-5</v>
      </c>
      <c r="F449">
        <v>8.7117416999999975E-2</v>
      </c>
      <c r="G449">
        <v>281.830651273027</v>
      </c>
    </row>
    <row r="450" spans="1:7" x14ac:dyDescent="0.3">
      <c r="A450">
        <v>1447.5</v>
      </c>
      <c r="B450">
        <v>0.118525045</v>
      </c>
      <c r="C450">
        <v>-1.5783152000000002E-2</v>
      </c>
      <c r="D450">
        <v>-1.4548296E-2</v>
      </c>
      <c r="E450">
        <v>4.1199999999999999E-5</v>
      </c>
      <c r="F450">
        <v>8.823479699999999E-2</v>
      </c>
      <c r="G450">
        <v>281.89097956064097</v>
      </c>
    </row>
    <row r="451" spans="1:7" x14ac:dyDescent="0.3">
      <c r="A451">
        <v>1448.5</v>
      </c>
      <c r="B451">
        <v>0.119080423</v>
      </c>
      <c r="C451">
        <v>-1.5755640000000001E-2</v>
      </c>
      <c r="D451">
        <v>-1.4444099E-2</v>
      </c>
      <c r="E451">
        <v>4.1199999999999999E-5</v>
      </c>
      <c r="F451">
        <v>8.8921883999999993E-2</v>
      </c>
      <c r="G451">
        <v>281.92808264509603</v>
      </c>
    </row>
    <row r="452" spans="1:7" x14ac:dyDescent="0.3">
      <c r="A452">
        <v>1449.5</v>
      </c>
      <c r="B452">
        <v>0.11917248</v>
      </c>
      <c r="C452">
        <v>-1.5806628E-2</v>
      </c>
      <c r="D452">
        <v>-1.4333082E-2</v>
      </c>
      <c r="E452">
        <v>4.1199999999999999E-5</v>
      </c>
      <c r="F452">
        <v>8.9073969999999988E-2</v>
      </c>
      <c r="G452">
        <v>281.93629754953901</v>
      </c>
    </row>
    <row r="453" spans="1:7" x14ac:dyDescent="0.3">
      <c r="A453">
        <v>1450.5</v>
      </c>
      <c r="B453">
        <v>0.118802159</v>
      </c>
      <c r="C453">
        <v>-1.5947836E-2</v>
      </c>
      <c r="D453">
        <v>-1.421525E-2</v>
      </c>
      <c r="E453">
        <v>4.1199999999999999E-5</v>
      </c>
      <c r="F453">
        <v>8.868027299999999E-2</v>
      </c>
      <c r="G453">
        <v>281.91503961079502</v>
      </c>
    </row>
    <row r="454" spans="1:7" x14ac:dyDescent="0.3">
      <c r="A454">
        <v>1451.5</v>
      </c>
      <c r="B454">
        <v>0.118062416</v>
      </c>
      <c r="C454">
        <v>-1.6183283999999999E-2</v>
      </c>
      <c r="D454">
        <v>-1.4088870999999999E-2</v>
      </c>
      <c r="E454">
        <v>4.1199999999999999E-5</v>
      </c>
      <c r="F454">
        <v>8.7831461E-2</v>
      </c>
      <c r="G454">
        <v>281.86921024368797</v>
      </c>
    </row>
    <row r="455" spans="1:7" x14ac:dyDescent="0.3">
      <c r="A455">
        <v>1452.5</v>
      </c>
      <c r="B455">
        <v>0.11704432300000001</v>
      </c>
      <c r="C455">
        <v>-1.6505228E-2</v>
      </c>
      <c r="D455">
        <v>-1.3955487000000001E-2</v>
      </c>
      <c r="E455">
        <v>4.1199999999999999E-5</v>
      </c>
      <c r="F455">
        <v>8.6624807999999998E-2</v>
      </c>
      <c r="G455">
        <v>281.80407111986602</v>
      </c>
    </row>
    <row r="456" spans="1:7" x14ac:dyDescent="0.3">
      <c r="A456">
        <v>1453.5</v>
      </c>
      <c r="B456">
        <v>0.115655574</v>
      </c>
      <c r="C456">
        <v>-1.6905825999999999E-2</v>
      </c>
      <c r="D456">
        <v>-1.3816999999999999E-2</v>
      </c>
      <c r="E456">
        <v>4.1199999999999999E-5</v>
      </c>
      <c r="F456">
        <v>8.4973947999999994E-2</v>
      </c>
      <c r="G456">
        <v>281.714973755242</v>
      </c>
    </row>
    <row r="457" spans="1:7" x14ac:dyDescent="0.3">
      <c r="A457">
        <v>1454.5</v>
      </c>
      <c r="B457">
        <v>0.113896819</v>
      </c>
      <c r="C457">
        <v>-1.7377317999999999E-2</v>
      </c>
      <c r="D457">
        <v>-1.3671673000000001E-2</v>
      </c>
      <c r="E457">
        <v>4.1199999999999999E-5</v>
      </c>
      <c r="F457">
        <v>8.288902799999999E-2</v>
      </c>
      <c r="G457">
        <v>281.60248640039202</v>
      </c>
    </row>
    <row r="458" spans="1:7" x14ac:dyDescent="0.3">
      <c r="A458">
        <v>1455.5</v>
      </c>
      <c r="B458">
        <v>0.11195216</v>
      </c>
      <c r="C458">
        <v>-1.7908035999999999E-2</v>
      </c>
      <c r="D458">
        <v>-1.3521213000000001E-2</v>
      </c>
      <c r="E458">
        <v>4.1199999999999999E-5</v>
      </c>
      <c r="F458">
        <v>8.056411099999998E-2</v>
      </c>
      <c r="G458">
        <v>281.477098808964</v>
      </c>
    </row>
    <row r="459" spans="1:7" x14ac:dyDescent="0.3">
      <c r="A459">
        <v>1456.5</v>
      </c>
      <c r="B459">
        <v>0.109820484</v>
      </c>
      <c r="C459">
        <v>-1.8486222E-2</v>
      </c>
      <c r="D459">
        <v>-1.3363882000000001E-2</v>
      </c>
      <c r="E459">
        <v>4.1199999999999999E-5</v>
      </c>
      <c r="F459">
        <v>7.8011579999999997E-2</v>
      </c>
      <c r="G459">
        <v>281.33949432304502</v>
      </c>
    </row>
    <row r="460" spans="1:7" x14ac:dyDescent="0.3">
      <c r="A460">
        <v>1457.5</v>
      </c>
      <c r="B460">
        <v>0.10759572000000001</v>
      </c>
      <c r="C460">
        <v>-1.9108081999999998E-2</v>
      </c>
      <c r="D460">
        <v>-1.3201226E-2</v>
      </c>
      <c r="E460">
        <v>4.1199999999999999E-5</v>
      </c>
      <c r="F460">
        <v>7.5327612000000002E-2</v>
      </c>
      <c r="G460">
        <v>281.19487050190202</v>
      </c>
    </row>
    <row r="461" spans="1:7" x14ac:dyDescent="0.3">
      <c r="A461">
        <v>1458.5</v>
      </c>
      <c r="B461">
        <v>0.10518543</v>
      </c>
      <c r="C461">
        <v>-1.9761869000000001E-2</v>
      </c>
      <c r="D461">
        <v>-1.3033416000000001E-2</v>
      </c>
      <c r="E461">
        <v>4.1199999999999999E-5</v>
      </c>
      <c r="F461">
        <v>7.243134499999998E-2</v>
      </c>
      <c r="G461">
        <v>281.03888339573598</v>
      </c>
    </row>
    <row r="462" spans="1:7" x14ac:dyDescent="0.3">
      <c r="A462">
        <v>1459.5</v>
      </c>
      <c r="B462">
        <v>0.102680826</v>
      </c>
      <c r="C462">
        <v>-2.0439727000000001E-2</v>
      </c>
      <c r="D462">
        <v>-1.2858883E-2</v>
      </c>
      <c r="E462">
        <v>4.1199999999999999E-5</v>
      </c>
      <c r="F462">
        <v>6.9423415999999988E-2</v>
      </c>
      <c r="G462">
        <v>280.87696625262299</v>
      </c>
    </row>
    <row r="463" spans="1:7" x14ac:dyDescent="0.3">
      <c r="A463">
        <v>1460.5</v>
      </c>
      <c r="B463">
        <v>0.10017512200000001</v>
      </c>
      <c r="C463">
        <v>-2.1133822E-2</v>
      </c>
      <c r="D463">
        <v>-1.2680901E-2</v>
      </c>
      <c r="E463">
        <v>4.1199999999999999E-5</v>
      </c>
      <c r="F463">
        <v>6.6401599000000006E-2</v>
      </c>
      <c r="G463">
        <v>280.714387525029</v>
      </c>
    </row>
    <row r="464" spans="1:7" x14ac:dyDescent="0.3">
      <c r="A464">
        <v>1461.5</v>
      </c>
      <c r="B464">
        <v>9.7575861999999999E-2</v>
      </c>
      <c r="C464">
        <v>-2.1828404999999999E-2</v>
      </c>
      <c r="D464">
        <v>-1.2497565E-2</v>
      </c>
      <c r="E464">
        <v>4.1199999999999999E-5</v>
      </c>
      <c r="F464">
        <v>6.3291091999999993E-2</v>
      </c>
      <c r="G464">
        <v>280.54712730333802</v>
      </c>
    </row>
    <row r="465" spans="1:7" x14ac:dyDescent="0.3">
      <c r="A465">
        <v>1462.5</v>
      </c>
      <c r="B465">
        <v>9.4974491999999994E-2</v>
      </c>
      <c r="C465">
        <v>-2.2519547000000001E-2</v>
      </c>
      <c r="D465">
        <v>-1.2309039000000001E-2</v>
      </c>
      <c r="E465">
        <v>4.1199999999999999E-5</v>
      </c>
      <c r="F465">
        <v>6.0187105999999997E-2</v>
      </c>
      <c r="G465">
        <v>280.38030872767098</v>
      </c>
    </row>
    <row r="466" spans="1:7" x14ac:dyDescent="0.3">
      <c r="A466">
        <v>1463.5</v>
      </c>
      <c r="B466">
        <v>9.2465396000000005E-2</v>
      </c>
      <c r="C466">
        <v>-2.3199299E-2</v>
      </c>
      <c r="D466">
        <v>-1.2115313000000001E-2</v>
      </c>
      <c r="E466">
        <v>4.1199999999999999E-5</v>
      </c>
      <c r="F466">
        <v>5.7191984000000001E-2</v>
      </c>
      <c r="G466">
        <v>280.21942711074098</v>
      </c>
    </row>
    <row r="467" spans="1:7" x14ac:dyDescent="0.3">
      <c r="A467">
        <v>1464.5</v>
      </c>
      <c r="B467">
        <v>9.0141271999999995E-2</v>
      </c>
      <c r="C467">
        <v>-2.3855795999999999E-2</v>
      </c>
      <c r="D467">
        <v>-1.1918105E-2</v>
      </c>
      <c r="E467">
        <v>4.1199999999999999E-5</v>
      </c>
      <c r="F467">
        <v>5.4408571000000003E-2</v>
      </c>
      <c r="G467">
        <v>280.06999335529798</v>
      </c>
    </row>
    <row r="468" spans="1:7" x14ac:dyDescent="0.3">
      <c r="A468">
        <v>1465.5</v>
      </c>
      <c r="B468">
        <v>8.7908811000000003E-2</v>
      </c>
      <c r="C468">
        <v>-2.4477102000000001E-2</v>
      </c>
      <c r="D468">
        <v>-1.1717414000000001E-2</v>
      </c>
      <c r="E468">
        <v>4.1199999999999999E-5</v>
      </c>
      <c r="F468">
        <v>5.1755495000000006E-2</v>
      </c>
      <c r="G468">
        <v>279.92762508093301</v>
      </c>
    </row>
    <row r="469" spans="1:7" x14ac:dyDescent="0.3">
      <c r="A469">
        <v>1466.5</v>
      </c>
      <c r="B469">
        <v>8.5861693000000003E-2</v>
      </c>
      <c r="C469">
        <v>-2.5059134E-2</v>
      </c>
      <c r="D469">
        <v>-1.1513235E-2</v>
      </c>
      <c r="E469">
        <v>4.1199999999999999E-5</v>
      </c>
      <c r="F469">
        <v>4.9330524000000014E-2</v>
      </c>
      <c r="G469">
        <v>279.79755547654997</v>
      </c>
    </row>
    <row r="470" spans="1:7" x14ac:dyDescent="0.3">
      <c r="A470">
        <v>1467.5</v>
      </c>
      <c r="B470">
        <v>8.4092790000000001E-2</v>
      </c>
      <c r="C470">
        <v>-2.5589994000000001E-2</v>
      </c>
      <c r="D470">
        <v>-1.1305384999999999E-2</v>
      </c>
      <c r="E470">
        <v>4.1199999999999999E-5</v>
      </c>
      <c r="F470">
        <v>4.7238611E-2</v>
      </c>
      <c r="G470">
        <v>279.68539496778499</v>
      </c>
    </row>
    <row r="471" spans="1:7" x14ac:dyDescent="0.3">
      <c r="A471">
        <v>1468.5</v>
      </c>
      <c r="B471">
        <v>8.2510590999999994E-2</v>
      </c>
      <c r="C471">
        <v>-2.6057692E-2</v>
      </c>
      <c r="D471">
        <v>-1.1092311000000001E-2</v>
      </c>
      <c r="E471">
        <v>4.1199999999999999E-5</v>
      </c>
      <c r="F471">
        <v>4.5401787999999998E-2</v>
      </c>
      <c r="G471">
        <v>279.58694570491798</v>
      </c>
    </row>
    <row r="472" spans="1:7" x14ac:dyDescent="0.3">
      <c r="A472">
        <v>1469.5</v>
      </c>
      <c r="B472">
        <v>8.1207046000000005E-2</v>
      </c>
      <c r="C472">
        <v>-2.6458154000000001E-2</v>
      </c>
      <c r="D472">
        <v>-1.0877636E-2</v>
      </c>
      <c r="E472">
        <v>4.1199999999999999E-5</v>
      </c>
      <c r="F472">
        <v>4.3912456000000016E-2</v>
      </c>
      <c r="G472">
        <v>279.50714457671802</v>
      </c>
    </row>
    <row r="473" spans="1:7" x14ac:dyDescent="0.3">
      <c r="A473">
        <v>1470.5</v>
      </c>
      <c r="B473">
        <v>8.0275078999999999E-2</v>
      </c>
      <c r="C473">
        <v>-2.6783405E-2</v>
      </c>
      <c r="D473">
        <v>-1.0661184000000001E-2</v>
      </c>
      <c r="E473">
        <v>4.1199999999999999E-5</v>
      </c>
      <c r="F473">
        <v>4.2871690000000004E-2</v>
      </c>
      <c r="G473">
        <v>279.451391406033</v>
      </c>
    </row>
    <row r="474" spans="1:7" x14ac:dyDescent="0.3">
      <c r="A474">
        <v>1471.5</v>
      </c>
      <c r="B474">
        <v>7.9716728000000001E-2</v>
      </c>
      <c r="C474">
        <v>-2.7021373000000001E-2</v>
      </c>
      <c r="D474">
        <v>-1.0441051E-2</v>
      </c>
      <c r="E474">
        <v>4.1199999999999999E-5</v>
      </c>
      <c r="F474">
        <v>4.2295504000000005E-2</v>
      </c>
      <c r="G474">
        <v>279.42053067976298</v>
      </c>
    </row>
    <row r="475" spans="1:7" x14ac:dyDescent="0.3">
      <c r="A475">
        <v>1472.5</v>
      </c>
      <c r="B475">
        <v>7.9437498999999995E-2</v>
      </c>
      <c r="C475">
        <v>-2.7176018999999999E-2</v>
      </c>
      <c r="D475">
        <v>-1.0217422E-2</v>
      </c>
      <c r="E475">
        <v>4.1199999999999999E-5</v>
      </c>
      <c r="F475">
        <v>4.2085258E-2</v>
      </c>
      <c r="G475">
        <v>279.40927179321199</v>
      </c>
    </row>
    <row r="476" spans="1:7" x14ac:dyDescent="0.3">
      <c r="A476">
        <v>1473.5</v>
      </c>
      <c r="B476">
        <v>7.9437434000000001E-2</v>
      </c>
      <c r="C476">
        <v>-2.7251293999999999E-2</v>
      </c>
      <c r="D476">
        <v>-9.9922039999999993E-3</v>
      </c>
      <c r="E476">
        <v>4.1199999999999999E-5</v>
      </c>
      <c r="F476">
        <v>4.2235136000000013E-2</v>
      </c>
      <c r="G476">
        <v>279.417301108522</v>
      </c>
    </row>
    <row r="477" spans="1:7" x14ac:dyDescent="0.3">
      <c r="A477">
        <v>1474.5</v>
      </c>
      <c r="B477">
        <v>7.9716533000000006E-2</v>
      </c>
      <c r="C477">
        <v>-2.7247141999999999E-2</v>
      </c>
      <c r="D477">
        <v>-9.7667819999999999E-3</v>
      </c>
      <c r="E477">
        <v>4.1199999999999999E-5</v>
      </c>
      <c r="F477">
        <v>4.2743809000000008E-2</v>
      </c>
      <c r="G477">
        <v>279.44454887634402</v>
      </c>
    </row>
    <row r="478" spans="1:7" x14ac:dyDescent="0.3">
      <c r="A478">
        <v>1475.5</v>
      </c>
      <c r="B478">
        <v>8.0182017999999994E-2</v>
      </c>
      <c r="C478">
        <v>-2.7171536999999999E-2</v>
      </c>
      <c r="D478">
        <v>-9.5378879999999996E-3</v>
      </c>
      <c r="E478">
        <v>4.1199999999999999E-5</v>
      </c>
      <c r="F478">
        <v>4.3513793000000002E-2</v>
      </c>
      <c r="G478">
        <v>279.48579797140599</v>
      </c>
    </row>
    <row r="479" spans="1:7" x14ac:dyDescent="0.3">
      <c r="A479">
        <v>1476.5</v>
      </c>
      <c r="B479">
        <v>8.0927494000000003E-2</v>
      </c>
      <c r="C479">
        <v>-2.7024497000000001E-2</v>
      </c>
      <c r="D479">
        <v>-9.3074209999999998E-3</v>
      </c>
      <c r="E479">
        <v>4.1199999999999999E-5</v>
      </c>
      <c r="F479">
        <v>4.4636776000000003E-2</v>
      </c>
      <c r="G479">
        <v>279.54596691327998</v>
      </c>
    </row>
    <row r="480" spans="1:7" x14ac:dyDescent="0.3">
      <c r="A480">
        <v>1477.5</v>
      </c>
      <c r="B480">
        <v>8.1951923999999995E-2</v>
      </c>
      <c r="C480">
        <v>-2.6810005000000001E-2</v>
      </c>
      <c r="D480">
        <v>-9.0767690000000002E-3</v>
      </c>
      <c r="E480">
        <v>4.1199999999999999E-5</v>
      </c>
      <c r="F480">
        <v>4.6106350000000004E-2</v>
      </c>
      <c r="G480">
        <v>279.62472361810899</v>
      </c>
    </row>
    <row r="481" spans="1:7" x14ac:dyDescent="0.3">
      <c r="A481">
        <v>1478.5</v>
      </c>
      <c r="B481">
        <v>8.3162470000000002E-2</v>
      </c>
      <c r="C481">
        <v>-2.6536034E-2</v>
      </c>
      <c r="D481">
        <v>-8.8443879999999999E-3</v>
      </c>
      <c r="E481">
        <v>4.1199999999999999E-5</v>
      </c>
      <c r="F481">
        <v>4.7823248000000006E-2</v>
      </c>
      <c r="G481">
        <v>279.71676037051702</v>
      </c>
    </row>
    <row r="482" spans="1:7" x14ac:dyDescent="0.3">
      <c r="A482">
        <v>1479.5</v>
      </c>
      <c r="B482">
        <v>8.4558087000000004E-2</v>
      </c>
      <c r="C482">
        <v>-2.6202675000000002E-2</v>
      </c>
      <c r="D482">
        <v>-8.6102839999999993E-3</v>
      </c>
      <c r="E482">
        <v>4.1199999999999999E-5</v>
      </c>
      <c r="F482">
        <v>4.9786328000000005E-2</v>
      </c>
      <c r="G482">
        <v>279.82202809769001</v>
      </c>
    </row>
    <row r="483" spans="1:7" x14ac:dyDescent="0.3">
      <c r="A483">
        <v>1480.5</v>
      </c>
      <c r="B483">
        <v>8.6139564000000002E-2</v>
      </c>
      <c r="C483">
        <v>-2.5809953E-2</v>
      </c>
      <c r="D483">
        <v>-8.3761830000000006E-3</v>
      </c>
      <c r="E483">
        <v>4.1199999999999999E-5</v>
      </c>
      <c r="F483">
        <v>5.1994628000000008E-2</v>
      </c>
      <c r="G483">
        <v>279.94048877851901</v>
      </c>
    </row>
    <row r="484" spans="1:7" x14ac:dyDescent="0.3">
      <c r="A484">
        <v>1481.5</v>
      </c>
      <c r="B484">
        <v>8.7907673000000006E-2</v>
      </c>
      <c r="C484">
        <v>-2.536586E-2</v>
      </c>
      <c r="D484">
        <v>-8.1422669999999999E-3</v>
      </c>
      <c r="E484">
        <v>4.1199999999999999E-5</v>
      </c>
      <c r="F484">
        <v>5.4440746000000005E-2</v>
      </c>
      <c r="G484">
        <v>280.07176054508602</v>
      </c>
    </row>
    <row r="485" spans="1:7" x14ac:dyDescent="0.3">
      <c r="A485">
        <v>1482.5</v>
      </c>
      <c r="B485">
        <v>8.9861311999999999E-2</v>
      </c>
      <c r="C485">
        <v>-2.4874483999999999E-2</v>
      </c>
      <c r="D485">
        <v>-7.9081930000000009E-3</v>
      </c>
      <c r="E485">
        <v>4.1199999999999999E-5</v>
      </c>
      <c r="F485">
        <v>5.7119835000000001E-2</v>
      </c>
      <c r="G485">
        <v>280.21559966979601</v>
      </c>
    </row>
    <row r="486" spans="1:7" x14ac:dyDescent="0.3">
      <c r="A486">
        <v>1483.5</v>
      </c>
      <c r="B486">
        <v>9.1906821E-2</v>
      </c>
      <c r="C486">
        <v>-2.4339834000000001E-2</v>
      </c>
      <c r="D486">
        <v>-7.6741409999999998E-3</v>
      </c>
      <c r="E486">
        <v>4.1199999999999999E-5</v>
      </c>
      <c r="F486">
        <v>5.9934045999999998E-2</v>
      </c>
      <c r="G486">
        <v>280.366766614114</v>
      </c>
    </row>
    <row r="487" spans="1:7" x14ac:dyDescent="0.3">
      <c r="A487">
        <v>1484.5</v>
      </c>
      <c r="B487">
        <v>9.4044102000000004E-2</v>
      </c>
      <c r="C487">
        <v>-2.3761944E-2</v>
      </c>
      <c r="D487">
        <v>-7.4401140000000003E-3</v>
      </c>
      <c r="E487">
        <v>4.1199999999999999E-5</v>
      </c>
      <c r="F487">
        <v>6.2883244000000005E-2</v>
      </c>
      <c r="G487">
        <v>280.52526493201401</v>
      </c>
    </row>
    <row r="488" spans="1:7" x14ac:dyDescent="0.3">
      <c r="A488">
        <v>1485.5</v>
      </c>
      <c r="B488">
        <v>9.6273049999999999E-2</v>
      </c>
      <c r="C488">
        <v>-2.3144861999999999E-2</v>
      </c>
      <c r="D488">
        <v>-7.2078400000000001E-3</v>
      </c>
      <c r="E488">
        <v>4.1199999999999999E-5</v>
      </c>
      <c r="F488">
        <v>6.5961547999999981E-2</v>
      </c>
      <c r="G488">
        <v>280.69078968066998</v>
      </c>
    </row>
    <row r="489" spans="1:7" x14ac:dyDescent="0.3">
      <c r="A489">
        <v>1486.5</v>
      </c>
      <c r="B489">
        <v>9.8594481999999997E-2</v>
      </c>
      <c r="C489">
        <v>-2.2492630999999999E-2</v>
      </c>
      <c r="D489">
        <v>-6.9757680000000002E-3</v>
      </c>
      <c r="E489">
        <v>4.1199999999999999E-5</v>
      </c>
      <c r="F489">
        <v>6.9167282999999996E-2</v>
      </c>
      <c r="G489">
        <v>280.86326198551399</v>
      </c>
    </row>
    <row r="490" spans="1:7" x14ac:dyDescent="0.3">
      <c r="A490">
        <v>1487.5</v>
      </c>
      <c r="B490">
        <v>0.101008284</v>
      </c>
      <c r="C490">
        <v>-2.1809248999999999E-2</v>
      </c>
      <c r="D490">
        <v>-6.7435580000000002E-3</v>
      </c>
      <c r="E490">
        <v>4.1199999999999999E-5</v>
      </c>
      <c r="F490">
        <v>7.2496676999999995E-2</v>
      </c>
      <c r="G490">
        <v>281.042490555065</v>
      </c>
    </row>
    <row r="491" spans="1:7" x14ac:dyDescent="0.3">
      <c r="A491">
        <v>1488.5</v>
      </c>
      <c r="B491">
        <v>0.103513414</v>
      </c>
      <c r="C491">
        <v>-2.1102704E-2</v>
      </c>
      <c r="D491">
        <v>-6.5131090000000004E-3</v>
      </c>
      <c r="E491">
        <v>4.1199999999999999E-5</v>
      </c>
      <c r="F491">
        <v>7.5938800999999986E-2</v>
      </c>
      <c r="G491">
        <v>281.22789814389199</v>
      </c>
    </row>
    <row r="492" spans="1:7" x14ac:dyDescent="0.3">
      <c r="A492">
        <v>1489.5</v>
      </c>
      <c r="B492">
        <v>0.106109752</v>
      </c>
      <c r="C492">
        <v>-2.0369089999999999E-2</v>
      </c>
      <c r="D492">
        <v>-6.2844199999999998E-3</v>
      </c>
      <c r="E492">
        <v>4.1199999999999999E-5</v>
      </c>
      <c r="F492">
        <v>7.9497441999999988E-2</v>
      </c>
      <c r="G492">
        <v>281.41970002496998</v>
      </c>
    </row>
    <row r="493" spans="1:7" x14ac:dyDescent="0.3">
      <c r="A493">
        <v>1490.5</v>
      </c>
      <c r="B493">
        <v>0.108612632</v>
      </c>
      <c r="C493">
        <v>-1.9612385E-2</v>
      </c>
      <c r="D493">
        <v>-6.057499E-3</v>
      </c>
      <c r="E493">
        <v>4.1199999999999999E-5</v>
      </c>
      <c r="F493">
        <v>8.2983948000000002E-2</v>
      </c>
      <c r="G493">
        <v>281.60773076584701</v>
      </c>
    </row>
    <row r="494" spans="1:7" x14ac:dyDescent="0.3">
      <c r="A494">
        <v>1491.5</v>
      </c>
      <c r="B494">
        <v>0.111114408</v>
      </c>
      <c r="C494">
        <v>-1.8840549000000002E-2</v>
      </c>
      <c r="D494">
        <v>-5.8325169999999997E-3</v>
      </c>
      <c r="E494">
        <v>4.1199999999999999E-5</v>
      </c>
      <c r="F494">
        <v>8.6482541999999996E-2</v>
      </c>
      <c r="G494">
        <v>281.796529663966</v>
      </c>
    </row>
    <row r="495" spans="1:7" x14ac:dyDescent="0.3">
      <c r="A495">
        <v>1492.5</v>
      </c>
      <c r="B495">
        <v>0.113708194</v>
      </c>
      <c r="C495">
        <v>-1.8057565000000001E-2</v>
      </c>
      <c r="D495">
        <v>-5.6093000000000002E-3</v>
      </c>
      <c r="E495">
        <v>4.1199999999999999E-5</v>
      </c>
      <c r="F495">
        <v>9.0082528999999995E-2</v>
      </c>
      <c r="G495">
        <v>281.99092149536102</v>
      </c>
    </row>
    <row r="496" spans="1:7" x14ac:dyDescent="0.3">
      <c r="A496">
        <v>1493.5</v>
      </c>
      <c r="B496">
        <v>0.116207725</v>
      </c>
      <c r="C496">
        <v>-1.7263423999999999E-2</v>
      </c>
      <c r="D496">
        <v>-5.3876820000000004E-3</v>
      </c>
      <c r="E496">
        <v>4.1199999999999999E-5</v>
      </c>
      <c r="F496">
        <v>9.3597818999999985E-2</v>
      </c>
      <c r="G496">
        <v>282.18085914949501</v>
      </c>
    </row>
    <row r="497" spans="1:7" x14ac:dyDescent="0.3">
      <c r="A497">
        <v>1494.5</v>
      </c>
      <c r="B497">
        <v>0.11870615700000001</v>
      </c>
      <c r="C497">
        <v>-1.6462056999999999E-2</v>
      </c>
      <c r="D497">
        <v>-5.1695530000000003E-3</v>
      </c>
      <c r="E497">
        <v>4.1199999999999999E-5</v>
      </c>
      <c r="F497">
        <v>9.7115747000000002E-2</v>
      </c>
      <c r="G497">
        <v>282.37105701022</v>
      </c>
    </row>
    <row r="498" spans="1:7" x14ac:dyDescent="0.3">
      <c r="A498">
        <v>1495.5</v>
      </c>
      <c r="B498">
        <v>0.121203492</v>
      </c>
      <c r="C498">
        <v>-1.5657458999999999E-2</v>
      </c>
      <c r="D498">
        <v>-4.9550849999999997E-3</v>
      </c>
      <c r="E498">
        <v>4.1199999999999999E-5</v>
      </c>
      <c r="F498">
        <v>0.10063214799999999</v>
      </c>
      <c r="G498">
        <v>282.561289960637</v>
      </c>
    </row>
    <row r="499" spans="1:7" x14ac:dyDescent="0.3">
      <c r="A499">
        <v>1496.5</v>
      </c>
      <c r="B499">
        <v>0.12360678</v>
      </c>
      <c r="C499">
        <v>-1.4853536000000001E-2</v>
      </c>
      <c r="D499">
        <v>-4.7423880000000002E-3</v>
      </c>
      <c r="E499">
        <v>4.1199999999999999E-5</v>
      </c>
      <c r="F499">
        <v>0.10405205599999999</v>
      </c>
      <c r="G499">
        <v>282.74641605724901</v>
      </c>
    </row>
    <row r="500" spans="1:7" x14ac:dyDescent="0.3">
      <c r="A500">
        <v>1497.5</v>
      </c>
      <c r="B500">
        <v>0.12591798100000001</v>
      </c>
      <c r="C500">
        <v>-1.4054181000000001E-2</v>
      </c>
      <c r="D500">
        <v>-4.5331809999999998E-3</v>
      </c>
      <c r="E500">
        <v>4.1199999999999999E-5</v>
      </c>
      <c r="F500">
        <v>0.10737181900000001</v>
      </c>
      <c r="G500">
        <v>282.926227879772</v>
      </c>
    </row>
    <row r="501" spans="1:7" x14ac:dyDescent="0.3">
      <c r="A501">
        <v>1498.5</v>
      </c>
      <c r="B501">
        <v>0.12804249200000001</v>
      </c>
      <c r="C501">
        <v>-1.3263349000000001E-2</v>
      </c>
      <c r="D501">
        <v>-4.3272930000000003E-3</v>
      </c>
      <c r="E501">
        <v>4.1199999999999999E-5</v>
      </c>
      <c r="F501">
        <v>0.11049305</v>
      </c>
      <c r="G501">
        <v>283.09538248638898</v>
      </c>
    </row>
    <row r="502" spans="1:7" x14ac:dyDescent="0.3">
      <c r="A502">
        <v>1499.5</v>
      </c>
      <c r="B502">
        <v>0.13007336799999999</v>
      </c>
      <c r="C502">
        <v>-1.2480982999999999E-2</v>
      </c>
      <c r="D502">
        <v>-4.1248919999999998E-3</v>
      </c>
      <c r="E502">
        <v>4.1199999999999999E-5</v>
      </c>
      <c r="F502">
        <v>0.11350869299999998</v>
      </c>
      <c r="G502">
        <v>283.25890318148498</v>
      </c>
    </row>
    <row r="503" spans="1:7" x14ac:dyDescent="0.3">
      <c r="A503">
        <v>1500.5</v>
      </c>
      <c r="B503">
        <v>0.13210443699999999</v>
      </c>
      <c r="C503">
        <v>-1.1710945E-2</v>
      </c>
      <c r="D503">
        <v>-3.9261469999999996E-3</v>
      </c>
      <c r="E503">
        <v>4.1199999999999999E-5</v>
      </c>
      <c r="F503">
        <v>0.11650854499999998</v>
      </c>
      <c r="G503">
        <v>283.421653734637</v>
      </c>
    </row>
    <row r="504" spans="1:7" x14ac:dyDescent="0.3">
      <c r="A504">
        <v>1501.5</v>
      </c>
      <c r="B504">
        <v>0.13395014299999999</v>
      </c>
      <c r="C504">
        <v>-1.0961086E-2</v>
      </c>
      <c r="D504">
        <v>-3.732609E-3</v>
      </c>
      <c r="E504">
        <v>4.1199999999999999E-5</v>
      </c>
      <c r="F504">
        <v>0.11929764799999999</v>
      </c>
      <c r="G504">
        <v>283.573047937909</v>
      </c>
    </row>
    <row r="505" spans="1:7" x14ac:dyDescent="0.3">
      <c r="A505">
        <v>1502.5</v>
      </c>
      <c r="B505">
        <v>0.13561066599999999</v>
      </c>
      <c r="C505">
        <v>-1.023132E-2</v>
      </c>
      <c r="D505">
        <v>-3.5442749999999999E-3</v>
      </c>
      <c r="E505">
        <v>4.1199999999999999E-5</v>
      </c>
      <c r="F505">
        <v>0.12187627099999999</v>
      </c>
      <c r="G505">
        <v>283.71308357602402</v>
      </c>
    </row>
    <row r="506" spans="1:7" x14ac:dyDescent="0.3">
      <c r="A506">
        <v>1503.5</v>
      </c>
      <c r="B506">
        <v>0.13708616800000001</v>
      </c>
      <c r="C506">
        <v>-9.5254399999999996E-3</v>
      </c>
      <c r="D506">
        <v>-3.359594E-3</v>
      </c>
      <c r="E506">
        <v>4.1199999999999999E-5</v>
      </c>
      <c r="F506">
        <v>0.12424233400000001</v>
      </c>
      <c r="G506">
        <v>283.841632092954</v>
      </c>
    </row>
    <row r="507" spans="1:7" x14ac:dyDescent="0.3">
      <c r="A507">
        <v>1504.5</v>
      </c>
      <c r="B507">
        <v>0.1384695</v>
      </c>
      <c r="C507">
        <v>-8.8434689999999996E-3</v>
      </c>
      <c r="D507">
        <v>-3.178391E-3</v>
      </c>
      <c r="E507">
        <v>4.1199999999999999E-5</v>
      </c>
      <c r="F507">
        <v>0.12648883999999999</v>
      </c>
      <c r="G507">
        <v>283.96373480975899</v>
      </c>
    </row>
    <row r="508" spans="1:7" x14ac:dyDescent="0.3">
      <c r="A508">
        <v>1505.5</v>
      </c>
      <c r="B508">
        <v>0.13976073</v>
      </c>
      <c r="C508">
        <v>-8.1892660000000006E-3</v>
      </c>
      <c r="D508">
        <v>-3.0022099999999999E-3</v>
      </c>
      <c r="E508">
        <v>4.1199999999999999E-5</v>
      </c>
      <c r="F508">
        <v>0.12861045399999999</v>
      </c>
      <c r="G508">
        <v>284.07909380520198</v>
      </c>
    </row>
    <row r="509" spans="1:7" x14ac:dyDescent="0.3">
      <c r="A509">
        <v>1506.5</v>
      </c>
      <c r="B509">
        <v>0.14086633800000001</v>
      </c>
      <c r="C509">
        <v>-7.566606E-3</v>
      </c>
      <c r="D509">
        <v>-2.8329420000000002E-3</v>
      </c>
      <c r="E509">
        <v>4.1199999999999999E-5</v>
      </c>
      <c r="F509">
        <v>0.13050798999999999</v>
      </c>
      <c r="G509">
        <v>284.182305794591</v>
      </c>
    </row>
    <row r="510" spans="1:7" x14ac:dyDescent="0.3">
      <c r="A510">
        <v>1507.5</v>
      </c>
      <c r="B510">
        <v>0.14187908199999999</v>
      </c>
      <c r="C510">
        <v>-6.9754279999999997E-3</v>
      </c>
      <c r="D510">
        <v>-2.6688630000000001E-3</v>
      </c>
      <c r="E510">
        <v>4.1199999999999999E-5</v>
      </c>
      <c r="F510">
        <v>0.13227599099999998</v>
      </c>
      <c r="G510">
        <v>284.27850332512901</v>
      </c>
    </row>
    <row r="511" spans="1:7" x14ac:dyDescent="0.3">
      <c r="A511">
        <v>1508.5</v>
      </c>
      <c r="B511">
        <v>0.14270821</v>
      </c>
      <c r="C511">
        <v>-6.4195750000000003E-3</v>
      </c>
      <c r="D511">
        <v>-2.5101440000000002E-3</v>
      </c>
      <c r="E511">
        <v>4.1199999999999999E-5</v>
      </c>
      <c r="F511">
        <v>0.13381969099999999</v>
      </c>
      <c r="G511">
        <v>284.36252149269097</v>
      </c>
    </row>
    <row r="512" spans="1:7" x14ac:dyDescent="0.3">
      <c r="A512">
        <v>1509.5</v>
      </c>
      <c r="B512">
        <v>0.143445514</v>
      </c>
      <c r="C512">
        <v>-5.8990259999999999E-3</v>
      </c>
      <c r="D512">
        <v>-2.358326E-3</v>
      </c>
      <c r="E512">
        <v>4.1199999999999999E-5</v>
      </c>
      <c r="F512">
        <v>0.13522936199999999</v>
      </c>
      <c r="G512">
        <v>284.43926501480598</v>
      </c>
    </row>
    <row r="513" spans="1:7" x14ac:dyDescent="0.3">
      <c r="A513">
        <v>1510.5</v>
      </c>
      <c r="B513">
        <v>0.14409010899999999</v>
      </c>
      <c r="C513">
        <v>-5.4136840000000002E-3</v>
      </c>
      <c r="D513">
        <v>-2.2116890000000002E-3</v>
      </c>
      <c r="E513">
        <v>4.1199999999999999E-5</v>
      </c>
      <c r="F513">
        <v>0.13650593599999999</v>
      </c>
      <c r="G513">
        <v>284.50877939243998</v>
      </c>
    </row>
    <row r="514" spans="1:7" x14ac:dyDescent="0.3">
      <c r="A514">
        <v>1511.5</v>
      </c>
      <c r="B514">
        <v>0.14464294599999999</v>
      </c>
      <c r="C514">
        <v>-4.9673929999999996E-3</v>
      </c>
      <c r="D514">
        <v>-2.0702300000000002E-3</v>
      </c>
      <c r="E514">
        <v>4.1199999999999999E-5</v>
      </c>
      <c r="F514">
        <v>0.13764652299999999</v>
      </c>
      <c r="G514">
        <v>284.57090220426898</v>
      </c>
    </row>
    <row r="515" spans="1:7" x14ac:dyDescent="0.3">
      <c r="A515">
        <v>1512.5</v>
      </c>
      <c r="B515">
        <v>0.14519573199999999</v>
      </c>
      <c r="C515">
        <v>-4.5601000000000001E-3</v>
      </c>
      <c r="D515">
        <v>-1.9356639999999999E-3</v>
      </c>
      <c r="E515">
        <v>4.1199999999999999E-5</v>
      </c>
      <c r="F515">
        <v>0.13874116799999997</v>
      </c>
      <c r="G515">
        <v>284.63053454366502</v>
      </c>
    </row>
    <row r="516" spans="1:7" x14ac:dyDescent="0.3">
      <c r="A516">
        <v>1513.5</v>
      </c>
      <c r="B516">
        <v>0.14565587999999999</v>
      </c>
      <c r="C516">
        <v>-4.1956099999999998E-3</v>
      </c>
      <c r="D516">
        <v>-1.8098789999999999E-3</v>
      </c>
      <c r="E516">
        <v>4.1199999999999999E-5</v>
      </c>
      <c r="F516">
        <v>0.139691591</v>
      </c>
      <c r="G516">
        <v>284.68231976695103</v>
      </c>
    </row>
    <row r="517" spans="1:7" x14ac:dyDescent="0.3">
      <c r="A517">
        <v>1514.5</v>
      </c>
      <c r="B517">
        <v>0.14602432800000001</v>
      </c>
      <c r="C517">
        <v>-3.8777659999999999E-3</v>
      </c>
      <c r="D517">
        <v>-1.6909830000000001E-3</v>
      </c>
      <c r="E517">
        <v>4.1199999999999999E-5</v>
      </c>
      <c r="F517">
        <v>0.14049677899999999</v>
      </c>
      <c r="G517">
        <v>284.72619881096699</v>
      </c>
    </row>
    <row r="518" spans="1:7" x14ac:dyDescent="0.3">
      <c r="A518">
        <v>1515.5</v>
      </c>
      <c r="B518">
        <v>0.146300178</v>
      </c>
      <c r="C518">
        <v>-3.606485E-3</v>
      </c>
      <c r="D518">
        <v>-1.577083E-3</v>
      </c>
      <c r="E518">
        <v>4.1199999999999999E-5</v>
      </c>
      <c r="F518">
        <v>0.14115780999999999</v>
      </c>
      <c r="G518">
        <v>284.76222700792499</v>
      </c>
    </row>
    <row r="519" spans="1:7" x14ac:dyDescent="0.3">
      <c r="A519">
        <v>1516.5</v>
      </c>
      <c r="B519">
        <v>0.14648435900000001</v>
      </c>
      <c r="C519">
        <v>-3.3817650000000001E-3</v>
      </c>
      <c r="D519">
        <v>-1.4717840000000001E-3</v>
      </c>
      <c r="E519">
        <v>4.1199999999999999E-5</v>
      </c>
      <c r="F519">
        <v>0.14167200999999999</v>
      </c>
      <c r="G519">
        <v>284.79025590709</v>
      </c>
    </row>
    <row r="520" spans="1:7" x14ac:dyDescent="0.3">
      <c r="A520">
        <v>1517.5</v>
      </c>
      <c r="B520">
        <v>0.14666853999999999</v>
      </c>
      <c r="C520">
        <v>-3.2074629999999998E-3</v>
      </c>
      <c r="D520">
        <v>-1.3752549999999999E-3</v>
      </c>
      <c r="E520">
        <v>4.1199999999999999E-5</v>
      </c>
      <c r="F520">
        <v>0.14212702199999999</v>
      </c>
      <c r="G520">
        <v>284.815060655786</v>
      </c>
    </row>
    <row r="521" spans="1:7" x14ac:dyDescent="0.3">
      <c r="A521">
        <v>1518.5</v>
      </c>
      <c r="B521">
        <v>0.14685271799999999</v>
      </c>
      <c r="C521">
        <v>-3.08355E-3</v>
      </c>
      <c r="D521">
        <v>-1.2857770000000001E-3</v>
      </c>
      <c r="E521">
        <v>4.1199999999999999E-5</v>
      </c>
      <c r="F521">
        <v>0.14252459100000001</v>
      </c>
      <c r="G521">
        <v>284.83673571185898</v>
      </c>
    </row>
    <row r="522" spans="1:7" x14ac:dyDescent="0.3">
      <c r="A522">
        <v>1519.5</v>
      </c>
      <c r="B522">
        <v>0.147036893</v>
      </c>
      <c r="C522">
        <v>-3.0138589999999998E-3</v>
      </c>
      <c r="D522">
        <v>-1.203176E-3</v>
      </c>
      <c r="E522">
        <v>4.1199999999999999E-5</v>
      </c>
      <c r="F522">
        <v>0.14286105799999999</v>
      </c>
      <c r="G522">
        <v>284.85508101950597</v>
      </c>
    </row>
    <row r="523" spans="1:7" x14ac:dyDescent="0.3">
      <c r="A523">
        <v>1520.5</v>
      </c>
      <c r="B523">
        <v>0.14712850299999999</v>
      </c>
      <c r="C523">
        <v>-3.0022270000000001E-3</v>
      </c>
      <c r="D523">
        <v>-1.1289959999999999E-3</v>
      </c>
      <c r="E523">
        <v>4.1199999999999999E-5</v>
      </c>
      <c r="F523">
        <v>0.14303848</v>
      </c>
      <c r="G523">
        <v>284.86475590883401</v>
      </c>
    </row>
    <row r="524" spans="1:7" x14ac:dyDescent="0.3">
      <c r="A524">
        <v>1521.5</v>
      </c>
      <c r="B524">
        <v>0.147221033</v>
      </c>
      <c r="C524">
        <v>-3.0486889999999998E-3</v>
      </c>
      <c r="D524">
        <v>-1.065124E-3</v>
      </c>
      <c r="E524">
        <v>4.1199999999999999E-5</v>
      </c>
      <c r="F524">
        <v>0.14314842</v>
      </c>
      <c r="G524">
        <v>284.87075161099199</v>
      </c>
    </row>
    <row r="525" spans="1:7" x14ac:dyDescent="0.3">
      <c r="A525">
        <v>1522.5</v>
      </c>
      <c r="B525">
        <v>0.14731356700000001</v>
      </c>
      <c r="C525">
        <v>-3.1532539999999999E-3</v>
      </c>
      <c r="D525">
        <v>-1.0100140000000001E-3</v>
      </c>
      <c r="E525">
        <v>4.1199999999999999E-5</v>
      </c>
      <c r="F525">
        <v>0.143191499</v>
      </c>
      <c r="G525">
        <v>284.87310184352202</v>
      </c>
    </row>
    <row r="526" spans="1:7" x14ac:dyDescent="0.3">
      <c r="A526">
        <v>1523.5</v>
      </c>
      <c r="B526">
        <v>0.14731354099999999</v>
      </c>
      <c r="C526">
        <v>-3.3197919999999998E-3</v>
      </c>
      <c r="D526">
        <v>-9.6177600000000002E-4</v>
      </c>
      <c r="E526">
        <v>4.1199999999999999E-5</v>
      </c>
      <c r="F526">
        <v>0.143073173</v>
      </c>
      <c r="G526">
        <v>284.86665206907003</v>
      </c>
    </row>
    <row r="527" spans="1:7" x14ac:dyDescent="0.3">
      <c r="A527">
        <v>1524.5</v>
      </c>
      <c r="B527">
        <v>0.147405165</v>
      </c>
      <c r="C527">
        <v>-3.5483329999999999E-3</v>
      </c>
      <c r="D527">
        <v>-9.2384300000000004E-4</v>
      </c>
      <c r="E527">
        <v>4.1199999999999999E-5</v>
      </c>
      <c r="F527">
        <v>0.142974189</v>
      </c>
      <c r="G527">
        <v>284.861256633587</v>
      </c>
    </row>
    <row r="528" spans="1:7" x14ac:dyDescent="0.3">
      <c r="A528">
        <v>1525.5</v>
      </c>
      <c r="B528">
        <v>0.14758843599999999</v>
      </c>
      <c r="C528">
        <v>-3.8427750000000001E-3</v>
      </c>
      <c r="D528">
        <v>-8.9638499999999998E-4</v>
      </c>
      <c r="E528">
        <v>4.1199999999999999E-5</v>
      </c>
      <c r="F528">
        <v>0.14289047599999999</v>
      </c>
      <c r="G528">
        <v>284.85669345271498</v>
      </c>
    </row>
    <row r="529" spans="1:7" x14ac:dyDescent="0.3">
      <c r="A529">
        <v>1526.5</v>
      </c>
      <c r="B529">
        <v>0.147680066</v>
      </c>
      <c r="C529">
        <v>-4.2071069999999999E-3</v>
      </c>
      <c r="D529">
        <v>-8.7751599999999995E-4</v>
      </c>
      <c r="E529">
        <v>4.1199999999999999E-5</v>
      </c>
      <c r="F529">
        <v>0.14263664300000001</v>
      </c>
      <c r="G529">
        <v>284.84285581737697</v>
      </c>
    </row>
    <row r="530" spans="1:7" x14ac:dyDescent="0.3">
      <c r="A530">
        <v>1527.5</v>
      </c>
      <c r="B530">
        <v>0.147772617</v>
      </c>
      <c r="C530">
        <v>-4.6375139999999997E-3</v>
      </c>
      <c r="D530">
        <v>-8.6894999999999995E-4</v>
      </c>
      <c r="E530">
        <v>4.1199999999999999E-5</v>
      </c>
      <c r="F530">
        <v>0.14230735299999997</v>
      </c>
      <c r="G530">
        <v>284.82490505644</v>
      </c>
    </row>
    <row r="531" spans="1:7" x14ac:dyDescent="0.3">
      <c r="A531">
        <v>1528.5</v>
      </c>
      <c r="B531">
        <v>0.147956807</v>
      </c>
      <c r="C531">
        <v>-5.1379399999999997E-3</v>
      </c>
      <c r="D531">
        <v>-8.7068900000000001E-4</v>
      </c>
      <c r="E531">
        <v>4.1199999999999999E-5</v>
      </c>
      <c r="F531">
        <v>0.14198937799999997</v>
      </c>
      <c r="G531">
        <v>284.80757182477203</v>
      </c>
    </row>
    <row r="532" spans="1:7" x14ac:dyDescent="0.3">
      <c r="A532">
        <v>1529.5</v>
      </c>
      <c r="B532">
        <v>0.148140996</v>
      </c>
      <c r="C532">
        <v>-5.7124309999999996E-3</v>
      </c>
      <c r="D532">
        <v>-8.81017E-4</v>
      </c>
      <c r="E532">
        <v>4.1199999999999999E-5</v>
      </c>
      <c r="F532">
        <v>0.14158874799999999</v>
      </c>
      <c r="G532">
        <v>284.78573415097799</v>
      </c>
    </row>
    <row r="533" spans="1:7" x14ac:dyDescent="0.3">
      <c r="A533">
        <v>1530.5</v>
      </c>
      <c r="B533">
        <v>0.14841773</v>
      </c>
      <c r="C533">
        <v>-6.3610419999999999E-3</v>
      </c>
      <c r="D533">
        <v>-9.0165199999999997E-4</v>
      </c>
      <c r="E533">
        <v>4.1199999999999999E-5</v>
      </c>
      <c r="F533">
        <v>0.14119623599999997</v>
      </c>
      <c r="G533">
        <v>284.76434018927</v>
      </c>
    </row>
    <row r="534" spans="1:7" x14ac:dyDescent="0.3">
      <c r="A534">
        <v>1531.5</v>
      </c>
      <c r="B534">
        <v>0.14878607899999999</v>
      </c>
      <c r="C534">
        <v>-7.0722830000000004E-3</v>
      </c>
      <c r="D534">
        <v>-9.3448299999999995E-4</v>
      </c>
      <c r="E534">
        <v>4.1199999999999999E-5</v>
      </c>
      <c r="F534">
        <v>0.14082051299999995</v>
      </c>
      <c r="G534">
        <v>284.74386228196403</v>
      </c>
    </row>
    <row r="535" spans="1:7" x14ac:dyDescent="0.3">
      <c r="A535">
        <v>1532.5</v>
      </c>
      <c r="B535">
        <v>0.149153494</v>
      </c>
      <c r="C535">
        <v>-7.795728E-3</v>
      </c>
      <c r="D535">
        <v>-9.7762200000000004E-4</v>
      </c>
      <c r="E535">
        <v>4.1199999999999999E-5</v>
      </c>
      <c r="F535">
        <v>0.14042134399999998</v>
      </c>
      <c r="G535">
        <v>284.72210779867697</v>
      </c>
    </row>
    <row r="536" spans="1:7" x14ac:dyDescent="0.3">
      <c r="A536">
        <v>1533.5</v>
      </c>
      <c r="B536">
        <v>0.149429279</v>
      </c>
      <c r="C536">
        <v>-8.4535119999999998E-3</v>
      </c>
      <c r="D536">
        <v>-1.0293489999999999E-3</v>
      </c>
      <c r="E536">
        <v>4.1199999999999999E-5</v>
      </c>
      <c r="F536">
        <v>0.13998761799999998</v>
      </c>
      <c r="G536">
        <v>284.698471599843</v>
      </c>
    </row>
    <row r="537" spans="1:7" x14ac:dyDescent="0.3">
      <c r="A537">
        <v>1534.5</v>
      </c>
      <c r="B537">
        <v>0.14970597199999999</v>
      </c>
      <c r="C537">
        <v>-9.002698E-3</v>
      </c>
      <c r="D537">
        <v>-1.089663E-3</v>
      </c>
      <c r="E537">
        <v>4.1199999999999999E-5</v>
      </c>
      <c r="F537">
        <v>0.13965481099999999</v>
      </c>
      <c r="G537">
        <v>284.68033567155999</v>
      </c>
    </row>
    <row r="538" spans="1:7" x14ac:dyDescent="0.3">
      <c r="A538">
        <v>1535.5</v>
      </c>
      <c r="B538">
        <v>0.14998174</v>
      </c>
      <c r="C538">
        <v>-9.4274500000000004E-3</v>
      </c>
      <c r="D538">
        <v>-1.1585619999999999E-3</v>
      </c>
      <c r="E538">
        <v>4.1199999999999999E-5</v>
      </c>
      <c r="F538">
        <v>0.13943692799999999</v>
      </c>
      <c r="G538">
        <v>284.66846216208501</v>
      </c>
    </row>
    <row r="539" spans="1:7" x14ac:dyDescent="0.3">
      <c r="A539">
        <v>1536.5</v>
      </c>
      <c r="B539">
        <v>0.15016590099999999</v>
      </c>
      <c r="C539">
        <v>-9.7276050000000003E-3</v>
      </c>
      <c r="D539">
        <v>-1.236219E-3</v>
      </c>
      <c r="E539">
        <v>4.1199999999999999E-5</v>
      </c>
      <c r="F539">
        <v>0.13924327699999997</v>
      </c>
      <c r="G539">
        <v>284.65790908501202</v>
      </c>
    </row>
    <row r="540" spans="1:7" x14ac:dyDescent="0.3">
      <c r="A540">
        <v>1537.5</v>
      </c>
      <c r="B540">
        <v>0.15035006000000001</v>
      </c>
      <c r="C540">
        <v>-9.9108779999999997E-3</v>
      </c>
      <c r="D540">
        <v>-1.3207449999999999E-3</v>
      </c>
      <c r="E540">
        <v>4.1199999999999999E-5</v>
      </c>
      <c r="F540">
        <v>0.13915963699999997</v>
      </c>
      <c r="G540">
        <v>284.65334982434501</v>
      </c>
    </row>
    <row r="541" spans="1:7" x14ac:dyDescent="0.3">
      <c r="A541">
        <v>1538.5</v>
      </c>
      <c r="B541">
        <v>0.15044170600000001</v>
      </c>
      <c r="C541">
        <v>-9.9732859999999996E-3</v>
      </c>
      <c r="D541">
        <v>-1.412139E-3</v>
      </c>
      <c r="E541">
        <v>4.1199999999999999E-5</v>
      </c>
      <c r="F541">
        <v>0.139097481</v>
      </c>
      <c r="G541">
        <v>284.649960898855</v>
      </c>
    </row>
    <row r="542" spans="1:7" x14ac:dyDescent="0.3">
      <c r="A542">
        <v>1539.5</v>
      </c>
      <c r="B542">
        <v>0.15044176000000001</v>
      </c>
      <c r="C542">
        <v>-9.914806E-3</v>
      </c>
      <c r="D542">
        <v>-1.512118E-3</v>
      </c>
      <c r="E542">
        <v>4.1199999999999999E-5</v>
      </c>
      <c r="F542">
        <v>0.13905603599999999</v>
      </c>
      <c r="G542">
        <v>284.647700133851</v>
      </c>
    </row>
    <row r="543" spans="1:7" x14ac:dyDescent="0.3">
      <c r="A543">
        <v>1540.5</v>
      </c>
      <c r="B543">
        <v>0.15025770799999999</v>
      </c>
      <c r="C543">
        <v>-9.7432879999999993E-3</v>
      </c>
      <c r="D543">
        <v>-1.6172479999999999E-3</v>
      </c>
      <c r="E543">
        <v>4.1199999999999999E-5</v>
      </c>
      <c r="F543">
        <v>0.138938372</v>
      </c>
      <c r="G543">
        <v>284.641286795128</v>
      </c>
    </row>
    <row r="544" spans="1:7" x14ac:dyDescent="0.3">
      <c r="A544">
        <v>1541.5</v>
      </c>
      <c r="B544">
        <v>0.14988952999999999</v>
      </c>
      <c r="C544">
        <v>-9.4548759999999992E-3</v>
      </c>
      <c r="D544">
        <v>-1.7275280000000001E-3</v>
      </c>
      <c r="E544">
        <v>4.1199999999999999E-5</v>
      </c>
      <c r="F544">
        <v>0.13874832599999998</v>
      </c>
      <c r="G544">
        <v>284.63093025701698</v>
      </c>
    </row>
    <row r="545" spans="1:7" x14ac:dyDescent="0.3">
      <c r="A545">
        <v>1542.5</v>
      </c>
      <c r="B545">
        <v>0.14942972099999999</v>
      </c>
      <c r="C545">
        <v>-9.0535089999999995E-3</v>
      </c>
      <c r="D545">
        <v>-1.8446719999999999E-3</v>
      </c>
      <c r="E545">
        <v>4.1199999999999999E-5</v>
      </c>
      <c r="F545">
        <v>0.13857274</v>
      </c>
      <c r="G545">
        <v>284.62136149409099</v>
      </c>
    </row>
    <row r="546" spans="1:7" x14ac:dyDescent="0.3">
      <c r="A546">
        <v>1543.5</v>
      </c>
      <c r="B546">
        <v>0.14887825700000001</v>
      </c>
      <c r="C546">
        <v>-8.5394010000000003E-3</v>
      </c>
      <c r="D546">
        <v>-1.9671350000000001E-3</v>
      </c>
      <c r="E546">
        <v>4.1199999999999999E-5</v>
      </c>
      <c r="F546">
        <v>0.13841292099999999</v>
      </c>
      <c r="G546">
        <v>284.61265189444299</v>
      </c>
    </row>
    <row r="547" spans="1:7" x14ac:dyDescent="0.3">
      <c r="A547">
        <v>1544.5</v>
      </c>
      <c r="B547">
        <v>0.14814164799999999</v>
      </c>
      <c r="C547">
        <v>-7.9127280000000008E-3</v>
      </c>
      <c r="D547">
        <v>-2.0947439999999999E-3</v>
      </c>
      <c r="E547">
        <v>4.1199999999999999E-5</v>
      </c>
      <c r="F547">
        <v>0.13817537599999996</v>
      </c>
      <c r="G547">
        <v>284.599708389206</v>
      </c>
    </row>
    <row r="548" spans="1:7" x14ac:dyDescent="0.3">
      <c r="A548">
        <v>1545.5</v>
      </c>
      <c r="B548">
        <v>0.147036521</v>
      </c>
      <c r="C548">
        <v>-7.1775320000000004E-3</v>
      </c>
      <c r="D548">
        <v>-2.2256089999999999E-3</v>
      </c>
      <c r="E548">
        <v>4.1199999999999999E-5</v>
      </c>
      <c r="F548">
        <v>0.13767457999999999</v>
      </c>
      <c r="G548">
        <v>284.572426218153</v>
      </c>
    </row>
    <row r="549" spans="1:7" x14ac:dyDescent="0.3">
      <c r="A549">
        <v>1546.5</v>
      </c>
      <c r="B549">
        <v>0.14574784199999999</v>
      </c>
      <c r="C549">
        <v>-6.3301939999999999E-3</v>
      </c>
      <c r="D549">
        <v>-2.360072E-3</v>
      </c>
      <c r="E549">
        <v>4.1199999999999999E-5</v>
      </c>
      <c r="F549">
        <v>0.13709877599999998</v>
      </c>
      <c r="G549">
        <v>284.54106126900501</v>
      </c>
    </row>
    <row r="550" spans="1:7" x14ac:dyDescent="0.3">
      <c r="A550">
        <v>1547.5</v>
      </c>
      <c r="B550">
        <v>0.14427456899999999</v>
      </c>
      <c r="C550">
        <v>-5.3787990000000001E-3</v>
      </c>
      <c r="D550">
        <v>-2.4996760000000002E-3</v>
      </c>
      <c r="E550">
        <v>4.1199999999999999E-5</v>
      </c>
      <c r="F550">
        <v>0.13643729399999999</v>
      </c>
      <c r="G550">
        <v>284.50503361198599</v>
      </c>
    </row>
    <row r="551" spans="1:7" x14ac:dyDescent="0.3">
      <c r="A551">
        <v>1548.5</v>
      </c>
      <c r="B551">
        <v>0.14252483499999999</v>
      </c>
      <c r="C551">
        <v>-4.3236469999999999E-3</v>
      </c>
      <c r="D551">
        <v>-2.6409860000000001E-3</v>
      </c>
      <c r="E551">
        <v>4.1199999999999999E-5</v>
      </c>
      <c r="F551">
        <v>0.13560140199999995</v>
      </c>
      <c r="G551">
        <v>284.45951368299899</v>
      </c>
    </row>
    <row r="552" spans="1:7" x14ac:dyDescent="0.3">
      <c r="A552">
        <v>1549.5</v>
      </c>
      <c r="B552">
        <v>0.14049746699999999</v>
      </c>
      <c r="C552">
        <v>-3.1650340000000002E-3</v>
      </c>
      <c r="D552">
        <v>-2.785718E-3</v>
      </c>
      <c r="E552">
        <v>4.1199999999999999E-5</v>
      </c>
      <c r="F552">
        <v>0.13458791499999997</v>
      </c>
      <c r="G552">
        <v>284.40433227096003</v>
      </c>
    </row>
    <row r="553" spans="1:7" x14ac:dyDescent="0.3">
      <c r="A553">
        <v>1550.5</v>
      </c>
      <c r="B553">
        <v>0.138100375</v>
      </c>
      <c r="C553">
        <v>-1.926514E-3</v>
      </c>
      <c r="D553">
        <v>-2.9321569999999999E-3</v>
      </c>
      <c r="E553">
        <v>4.1199999999999999E-5</v>
      </c>
      <c r="F553">
        <v>0.13328290400000001</v>
      </c>
      <c r="G553">
        <v>284.33329375190601</v>
      </c>
    </row>
    <row r="554" spans="1:7" x14ac:dyDescent="0.3">
      <c r="A554">
        <v>1551.5</v>
      </c>
      <c r="B554">
        <v>0.13551860299999999</v>
      </c>
      <c r="C554">
        <v>-6.5094299999999996E-4</v>
      </c>
      <c r="D554">
        <v>-3.080307E-3</v>
      </c>
      <c r="E554">
        <v>4.1199999999999999E-5</v>
      </c>
      <c r="F554">
        <v>0.13182855299999999</v>
      </c>
      <c r="G554">
        <v>284.25414562756299</v>
      </c>
    </row>
    <row r="555" spans="1:7" x14ac:dyDescent="0.3">
      <c r="A555">
        <v>1552.5</v>
      </c>
      <c r="B555">
        <v>0.13284286300000001</v>
      </c>
      <c r="C555">
        <v>6.1140100000000002E-4</v>
      </c>
      <c r="D555">
        <v>-3.2318910000000002E-3</v>
      </c>
      <c r="E555">
        <v>4.1199999999999999E-5</v>
      </c>
      <c r="F555">
        <v>0.13026357300000002</v>
      </c>
      <c r="G555">
        <v>284.16899967061698</v>
      </c>
    </row>
    <row r="556" spans="1:7" x14ac:dyDescent="0.3">
      <c r="A556">
        <v>1553.5</v>
      </c>
      <c r="B556">
        <v>0.13007394</v>
      </c>
      <c r="C556">
        <v>1.822068E-3</v>
      </c>
      <c r="D556">
        <v>-3.3870910000000001E-3</v>
      </c>
      <c r="E556">
        <v>4.1199999999999999E-5</v>
      </c>
      <c r="F556">
        <v>0.12855011699999999</v>
      </c>
      <c r="G556">
        <v>284.07580280098199</v>
      </c>
    </row>
    <row r="557" spans="1:7" x14ac:dyDescent="0.3">
      <c r="A557">
        <v>1554.5</v>
      </c>
      <c r="B557">
        <v>0.127210781</v>
      </c>
      <c r="C557">
        <v>2.950439E-3</v>
      </c>
      <c r="D557">
        <v>-3.5455700000000001E-3</v>
      </c>
      <c r="E557">
        <v>4.1199999999999999E-5</v>
      </c>
      <c r="F557">
        <v>0.12665684999999999</v>
      </c>
      <c r="G557">
        <v>283.97285887701202</v>
      </c>
    </row>
    <row r="558" spans="1:7" x14ac:dyDescent="0.3">
      <c r="A558">
        <v>1555.5</v>
      </c>
      <c r="B558">
        <v>0.124438194</v>
      </c>
      <c r="C558">
        <v>3.9583400000000003E-3</v>
      </c>
      <c r="D558">
        <v>-3.7057879999999998E-3</v>
      </c>
      <c r="E558">
        <v>4.1199999999999999E-5</v>
      </c>
      <c r="F558">
        <v>0.124731946</v>
      </c>
      <c r="G558">
        <v>283.86822999757698</v>
      </c>
    </row>
    <row r="559" spans="1:7" x14ac:dyDescent="0.3">
      <c r="A559">
        <v>1556.5</v>
      </c>
      <c r="B559">
        <v>0.121850215</v>
      </c>
      <c r="C559">
        <v>4.8038559999999996E-3</v>
      </c>
      <c r="D559">
        <v>-3.8713630000000001E-3</v>
      </c>
      <c r="E559">
        <v>4.1199999999999999E-5</v>
      </c>
      <c r="F559">
        <v>0.122823908</v>
      </c>
      <c r="G559">
        <v>283.764552578647</v>
      </c>
    </row>
    <row r="560" spans="1:7" x14ac:dyDescent="0.3">
      <c r="A560">
        <v>1557.5</v>
      </c>
      <c r="B560">
        <v>0.119446173</v>
      </c>
      <c r="C560">
        <v>5.4528930000000003E-3</v>
      </c>
      <c r="D560">
        <v>-4.0402459999999999E-3</v>
      </c>
      <c r="E560">
        <v>4.1199999999999999E-5</v>
      </c>
      <c r="F560">
        <v>0.12090002</v>
      </c>
      <c r="G560">
        <v>283.66004926909801</v>
      </c>
    </row>
    <row r="561" spans="1:7" x14ac:dyDescent="0.3">
      <c r="A561">
        <v>1558.5</v>
      </c>
      <c r="B561">
        <v>0.117410563</v>
      </c>
      <c r="C561">
        <v>5.8713059999999997E-3</v>
      </c>
      <c r="D561">
        <v>-4.2126170000000001E-3</v>
      </c>
      <c r="E561">
        <v>4.1199999999999999E-5</v>
      </c>
      <c r="F561">
        <v>0.11911045199999998</v>
      </c>
      <c r="G561">
        <v>283.56287348986302</v>
      </c>
    </row>
    <row r="562" spans="1:7" x14ac:dyDescent="0.3">
      <c r="A562">
        <v>1559.5</v>
      </c>
      <c r="B562">
        <v>0.115836859</v>
      </c>
      <c r="C562">
        <v>6.0210079999999996E-3</v>
      </c>
      <c r="D562">
        <v>-4.3921000000000003E-3</v>
      </c>
      <c r="E562">
        <v>4.1199999999999999E-5</v>
      </c>
      <c r="F562">
        <v>0.11750696699999999</v>
      </c>
      <c r="G562">
        <v>283.47582771535599</v>
      </c>
    </row>
    <row r="563" spans="1:7" x14ac:dyDescent="0.3">
      <c r="A563">
        <v>1560.5</v>
      </c>
      <c r="B563">
        <v>0.11463327199999999</v>
      </c>
      <c r="C563">
        <v>5.8675480000000002E-3</v>
      </c>
      <c r="D563">
        <v>-4.5751020000000002E-3</v>
      </c>
      <c r="E563">
        <v>4.1199999999999999E-5</v>
      </c>
      <c r="F563">
        <v>0.11596691799999999</v>
      </c>
      <c r="G563">
        <v>283.39224842239003</v>
      </c>
    </row>
    <row r="564" spans="1:7" x14ac:dyDescent="0.3">
      <c r="A564">
        <v>1561.5</v>
      </c>
      <c r="B564">
        <v>0.11380003599999999</v>
      </c>
      <c r="C564">
        <v>5.3762319999999999E-3</v>
      </c>
      <c r="D564">
        <v>-4.7633609999999998E-3</v>
      </c>
      <c r="E564">
        <v>4.1199999999999999E-5</v>
      </c>
      <c r="F564">
        <v>0.11445410699999999</v>
      </c>
      <c r="G564">
        <v>283.31016934358001</v>
      </c>
    </row>
    <row r="565" spans="1:7" x14ac:dyDescent="0.3">
      <c r="A565">
        <v>1562.5</v>
      </c>
      <c r="B565">
        <v>0.113522624</v>
      </c>
      <c r="C565">
        <v>4.5581249999999997E-3</v>
      </c>
      <c r="D565">
        <v>-4.9568809999999998E-3</v>
      </c>
      <c r="E565">
        <v>4.1199999999999999E-5</v>
      </c>
      <c r="F565">
        <v>0.11316506799999999</v>
      </c>
      <c r="G565">
        <v>283.24024790441803</v>
      </c>
    </row>
    <row r="566" spans="1:7" x14ac:dyDescent="0.3">
      <c r="A566">
        <v>1563.5</v>
      </c>
      <c r="B566">
        <v>0.11361489600000001</v>
      </c>
      <c r="C566">
        <v>3.4546780000000001E-3</v>
      </c>
      <c r="D566">
        <v>-5.1522249999999999E-3</v>
      </c>
      <c r="E566">
        <v>4.1199999999999999E-5</v>
      </c>
      <c r="F566">
        <v>0.111958549</v>
      </c>
      <c r="G566">
        <v>283.17481664051502</v>
      </c>
    </row>
    <row r="567" spans="1:7" x14ac:dyDescent="0.3">
      <c r="A567">
        <v>1564.5</v>
      </c>
      <c r="B567">
        <v>0.113892466</v>
      </c>
      <c r="C567">
        <v>2.1072909999999999E-3</v>
      </c>
      <c r="D567">
        <v>-5.3528350000000002E-3</v>
      </c>
      <c r="E567">
        <v>4.1199999999999999E-5</v>
      </c>
      <c r="F567">
        <v>0.11068812199999999</v>
      </c>
      <c r="G567">
        <v>283.10593471204697</v>
      </c>
    </row>
    <row r="568" spans="1:7" x14ac:dyDescent="0.3">
      <c r="A568">
        <v>1565.5</v>
      </c>
      <c r="B568">
        <v>0.114448406</v>
      </c>
      <c r="C568">
        <v>5.5358899999999995E-4</v>
      </c>
      <c r="D568">
        <v>-5.5569870000000002E-3</v>
      </c>
      <c r="E568">
        <v>4.1199999999999999E-5</v>
      </c>
      <c r="F568">
        <v>0.10948620799999999</v>
      </c>
      <c r="G568">
        <v>283.04078149533802</v>
      </c>
    </row>
    <row r="569" spans="1:7" x14ac:dyDescent="0.3">
      <c r="A569">
        <v>1566.5</v>
      </c>
      <c r="B569">
        <v>0.11528171399999999</v>
      </c>
      <c r="C569">
        <v>-1.164904E-3</v>
      </c>
      <c r="D569">
        <v>-5.7629550000000002E-3</v>
      </c>
      <c r="E569">
        <v>4.1199999999999999E-5</v>
      </c>
      <c r="F569">
        <v>0.10839505499999999</v>
      </c>
      <c r="G569">
        <v>282.981643927535</v>
      </c>
    </row>
    <row r="570" spans="1:7" x14ac:dyDescent="0.3">
      <c r="A570">
        <v>1567.5</v>
      </c>
      <c r="B570">
        <v>0.11620797300000001</v>
      </c>
      <c r="C570">
        <v>-3.0026190000000002E-3</v>
      </c>
      <c r="D570">
        <v>-5.9726299999999996E-3</v>
      </c>
      <c r="E570">
        <v>4.1199999999999999E-5</v>
      </c>
      <c r="F570">
        <v>0.10727392399999999</v>
      </c>
      <c r="G570">
        <v>282.920893676969</v>
      </c>
    </row>
    <row r="571" spans="1:7" x14ac:dyDescent="0.3">
      <c r="A571">
        <v>1568.5</v>
      </c>
      <c r="B571">
        <v>0.11722621799999999</v>
      </c>
      <c r="C571">
        <v>-4.921379E-3</v>
      </c>
      <c r="D571">
        <v>-6.1841090000000001E-3</v>
      </c>
      <c r="E571">
        <v>4.1199999999999999E-5</v>
      </c>
      <c r="F571">
        <v>0.10616192999999999</v>
      </c>
      <c r="G571">
        <v>282.86065022617998</v>
      </c>
    </row>
    <row r="572" spans="1:7" x14ac:dyDescent="0.3">
      <c r="A572">
        <v>1569.5</v>
      </c>
      <c r="B572">
        <v>0.118428512</v>
      </c>
      <c r="C572">
        <v>-6.8750010000000004E-3</v>
      </c>
      <c r="D572">
        <v>-6.3972070000000002E-3</v>
      </c>
      <c r="E572">
        <v>4.1199999999999999E-5</v>
      </c>
      <c r="F572">
        <v>0.10519750399999998</v>
      </c>
      <c r="G572">
        <v>282.808410440111</v>
      </c>
    </row>
    <row r="573" spans="1:7" x14ac:dyDescent="0.3">
      <c r="A573">
        <v>1570.5</v>
      </c>
      <c r="B573">
        <v>0.119631476</v>
      </c>
      <c r="C573">
        <v>-8.8208920000000003E-3</v>
      </c>
      <c r="D573">
        <v>-6.6120889999999998E-3</v>
      </c>
      <c r="E573">
        <v>4.1199999999999999E-5</v>
      </c>
      <c r="F573">
        <v>0.10423969499999999</v>
      </c>
      <c r="G573">
        <v>282.75653790733998</v>
      </c>
    </row>
    <row r="574" spans="1:7" x14ac:dyDescent="0.3">
      <c r="A574">
        <v>1571.5</v>
      </c>
      <c r="B574">
        <v>0.120742113</v>
      </c>
      <c r="C574">
        <v>-1.0716042E-2</v>
      </c>
      <c r="D574">
        <v>-6.8287410000000002E-3</v>
      </c>
      <c r="E574">
        <v>4.1199999999999999E-5</v>
      </c>
      <c r="F574">
        <v>0.10323853</v>
      </c>
      <c r="G574">
        <v>282.70232684392801</v>
      </c>
    </row>
    <row r="575" spans="1:7" x14ac:dyDescent="0.3">
      <c r="A575">
        <v>1572.5</v>
      </c>
      <c r="B575">
        <v>0.121759556</v>
      </c>
      <c r="C575">
        <v>-1.2517149999999999E-2</v>
      </c>
      <c r="D575">
        <v>-7.0455980000000001E-3</v>
      </c>
      <c r="E575">
        <v>4.1199999999999999E-5</v>
      </c>
      <c r="F575">
        <v>0.10223800799999999</v>
      </c>
      <c r="G575">
        <v>282.64816029359099</v>
      </c>
    </row>
    <row r="576" spans="1:7" x14ac:dyDescent="0.3">
      <c r="A576">
        <v>1573.5</v>
      </c>
      <c r="B576">
        <v>0.12259181</v>
      </c>
      <c r="C576">
        <v>-1.4180573E-2</v>
      </c>
      <c r="D576">
        <v>-7.2624710000000004E-3</v>
      </c>
      <c r="E576">
        <v>4.1199999999999999E-5</v>
      </c>
      <c r="F576">
        <v>0.10118996599999998</v>
      </c>
      <c r="G576">
        <v>282.59143145858201</v>
      </c>
    </row>
    <row r="577" spans="1:7" x14ac:dyDescent="0.3">
      <c r="A577">
        <v>1574.5</v>
      </c>
      <c r="B577">
        <v>0.123330989</v>
      </c>
      <c r="C577">
        <v>-1.5670302000000001E-2</v>
      </c>
      <c r="D577">
        <v>-7.4791659999999998E-3</v>
      </c>
      <c r="E577">
        <v>4.1199999999999999E-5</v>
      </c>
      <c r="F577">
        <v>0.100222721</v>
      </c>
      <c r="G577">
        <v>282.53908517416301</v>
      </c>
    </row>
    <row r="578" spans="1:7" x14ac:dyDescent="0.3">
      <c r="A578">
        <v>1575.5</v>
      </c>
      <c r="B578">
        <v>0.123885105</v>
      </c>
      <c r="C578">
        <v>-1.6973736999999999E-2</v>
      </c>
      <c r="D578">
        <v>-7.6958479999999999E-3</v>
      </c>
      <c r="E578">
        <v>4.1199999999999999E-5</v>
      </c>
      <c r="F578">
        <v>9.9256719999999979E-2</v>
      </c>
      <c r="G578">
        <v>282.486815181395</v>
      </c>
    </row>
    <row r="579" spans="1:7" x14ac:dyDescent="0.3">
      <c r="A579">
        <v>1576.5</v>
      </c>
      <c r="B579">
        <v>0.12407017100000001</v>
      </c>
      <c r="C579">
        <v>-1.8105843999999999E-2</v>
      </c>
      <c r="D579">
        <v>-7.9126960000000003E-3</v>
      </c>
      <c r="E579">
        <v>4.1199999999999999E-5</v>
      </c>
      <c r="F579">
        <v>9.8092831000000005E-2</v>
      </c>
      <c r="G579">
        <v>282.42385014609198</v>
      </c>
    </row>
    <row r="580" spans="1:7" x14ac:dyDescent="0.3">
      <c r="A580">
        <v>1577.5</v>
      </c>
      <c r="B580">
        <v>0.123978243</v>
      </c>
      <c r="C580">
        <v>-1.9089699000000002E-2</v>
      </c>
      <c r="D580">
        <v>-8.1260910000000002E-3</v>
      </c>
      <c r="E580">
        <v>4.1199999999999999E-5</v>
      </c>
      <c r="F580">
        <v>9.680365299999999E-2</v>
      </c>
      <c r="G580">
        <v>282.354122839779</v>
      </c>
    </row>
    <row r="581" spans="1:7" x14ac:dyDescent="0.3">
      <c r="A581">
        <v>1578.5</v>
      </c>
      <c r="B581">
        <v>0.12351635900000001</v>
      </c>
      <c r="C581">
        <v>-1.9944519000000001E-2</v>
      </c>
      <c r="D581">
        <v>-8.3393170000000006E-3</v>
      </c>
      <c r="E581">
        <v>4.1199999999999999E-5</v>
      </c>
      <c r="F581">
        <v>9.5273722999999991E-2</v>
      </c>
      <c r="G581">
        <v>282.27139548123603</v>
      </c>
    </row>
    <row r="582" spans="1:7" x14ac:dyDescent="0.3">
      <c r="A582">
        <v>1579.5</v>
      </c>
      <c r="B582">
        <v>0.122591461</v>
      </c>
      <c r="C582">
        <v>-2.0697562999999999E-2</v>
      </c>
      <c r="D582">
        <v>-8.5525589999999995E-3</v>
      </c>
      <c r="E582">
        <v>4.1199999999999999E-5</v>
      </c>
      <c r="F582">
        <v>9.3382538999999987E-2</v>
      </c>
      <c r="G582">
        <v>282.16916601185102</v>
      </c>
    </row>
    <row r="583" spans="1:7" x14ac:dyDescent="0.3">
      <c r="A583">
        <v>1580.5</v>
      </c>
      <c r="B583">
        <v>0.12129723100000001</v>
      </c>
      <c r="C583">
        <v>-2.1372288E-2</v>
      </c>
      <c r="D583">
        <v>-8.7623700000000002E-3</v>
      </c>
      <c r="E583">
        <v>4.1199999999999999E-5</v>
      </c>
      <c r="F583">
        <v>9.1203772999999988E-2</v>
      </c>
      <c r="G583">
        <v>282.05143391858098</v>
      </c>
    </row>
    <row r="584" spans="1:7" x14ac:dyDescent="0.3">
      <c r="A584">
        <v>1581.5</v>
      </c>
      <c r="B584">
        <v>0.1195404</v>
      </c>
      <c r="C584">
        <v>-2.1988239999999999E-2</v>
      </c>
      <c r="D584">
        <v>-8.9687619999999999E-3</v>
      </c>
      <c r="E584">
        <v>4.1199999999999999E-5</v>
      </c>
      <c r="F584">
        <v>8.8624597999999985E-2</v>
      </c>
      <c r="G584">
        <v>281.91212456187799</v>
      </c>
    </row>
    <row r="585" spans="1:7" x14ac:dyDescent="0.3">
      <c r="A585">
        <v>1582.5</v>
      </c>
      <c r="B585">
        <v>0.11722748500000001</v>
      </c>
      <c r="C585">
        <v>-2.2565067000000001E-2</v>
      </c>
      <c r="D585">
        <v>-9.1736449999999994E-3</v>
      </c>
      <c r="E585">
        <v>4.1199999999999999E-5</v>
      </c>
      <c r="F585">
        <v>8.5529972999999995E-2</v>
      </c>
      <c r="G585">
        <v>281.745058509209</v>
      </c>
    </row>
    <row r="586" spans="1:7" x14ac:dyDescent="0.3">
      <c r="A586">
        <v>1583.5</v>
      </c>
      <c r="B586">
        <v>0.11435780700000001</v>
      </c>
      <c r="C586">
        <v>-2.3126440000000002E-2</v>
      </c>
      <c r="D586">
        <v>-9.3768559999999994E-3</v>
      </c>
      <c r="E586">
        <v>4.1199999999999999E-5</v>
      </c>
      <c r="F586">
        <v>8.1895710999999996E-2</v>
      </c>
      <c r="G586">
        <v>281.548976547998</v>
      </c>
    </row>
    <row r="587" spans="1:7" x14ac:dyDescent="0.3">
      <c r="A587">
        <v>1584.5</v>
      </c>
      <c r="B587">
        <v>0.110930524</v>
      </c>
      <c r="C587">
        <v>-2.3700019999999999E-2</v>
      </c>
      <c r="D587">
        <v>-9.5765120000000006E-3</v>
      </c>
      <c r="E587">
        <v>4.1199999999999999E-5</v>
      </c>
      <c r="F587">
        <v>7.7695191999999996E-2</v>
      </c>
      <c r="G587">
        <v>281.32249978313303</v>
      </c>
    </row>
    <row r="588" spans="1:7" x14ac:dyDescent="0.3">
      <c r="A588">
        <v>1585.5</v>
      </c>
      <c r="B588">
        <v>0.106853247</v>
      </c>
      <c r="C588">
        <v>-2.4305587999999999E-2</v>
      </c>
      <c r="D588">
        <v>-9.7727999999999999E-3</v>
      </c>
      <c r="E588">
        <v>4.1199999999999999E-5</v>
      </c>
      <c r="F588">
        <v>7.2816058999999989E-2</v>
      </c>
      <c r="G588">
        <v>281.05964559990798</v>
      </c>
    </row>
    <row r="589" spans="1:7" x14ac:dyDescent="0.3">
      <c r="A589">
        <v>1586.5</v>
      </c>
      <c r="B589">
        <v>0.102030354</v>
      </c>
      <c r="C589">
        <v>-2.4963012999999999E-2</v>
      </c>
      <c r="D589">
        <v>-9.9657359999999993E-3</v>
      </c>
      <c r="E589">
        <v>4.1199999999999999E-5</v>
      </c>
      <c r="F589">
        <v>6.7142805E-2</v>
      </c>
      <c r="G589">
        <v>280.75429394266303</v>
      </c>
    </row>
    <row r="590" spans="1:7" x14ac:dyDescent="0.3">
      <c r="A590">
        <v>1587.5</v>
      </c>
      <c r="B590">
        <v>9.6459947000000004E-2</v>
      </c>
      <c r="C590">
        <v>-2.5696246999999998E-2</v>
      </c>
      <c r="D590">
        <v>-1.0155335E-2</v>
      </c>
      <c r="E590">
        <v>4.1199999999999999E-5</v>
      </c>
      <c r="F590">
        <v>6.0649565000000016E-2</v>
      </c>
      <c r="G590">
        <v>280.405182918994</v>
      </c>
    </row>
    <row r="591" spans="1:7" x14ac:dyDescent="0.3">
      <c r="A591">
        <v>1588.5</v>
      </c>
      <c r="B591">
        <v>9.0140756000000002E-2</v>
      </c>
      <c r="C591">
        <v>-2.6529210000000001E-2</v>
      </c>
      <c r="D591">
        <v>-1.0339713E-2</v>
      </c>
      <c r="E591">
        <v>4.1199999999999999E-5</v>
      </c>
      <c r="F591">
        <v>5.331303300000001E-2</v>
      </c>
      <c r="G591">
        <v>280.011212584237</v>
      </c>
    </row>
    <row r="592" spans="1:7" x14ac:dyDescent="0.3">
      <c r="A592">
        <v>1589.5</v>
      </c>
      <c r="B592">
        <v>8.3162975E-2</v>
      </c>
      <c r="C592">
        <v>-2.7478036000000001E-2</v>
      </c>
      <c r="D592">
        <v>-1.0519049000000001E-2</v>
      </c>
      <c r="E592">
        <v>4.1199999999999999E-5</v>
      </c>
      <c r="F592">
        <v>4.5207090000000005E-2</v>
      </c>
      <c r="G592">
        <v>279.57651700392302</v>
      </c>
    </row>
    <row r="593" spans="1:7" x14ac:dyDescent="0.3">
      <c r="A593">
        <v>1590.5</v>
      </c>
      <c r="B593">
        <v>7.5803539000000003E-2</v>
      </c>
      <c r="C593">
        <v>-2.8515278000000002E-2</v>
      </c>
      <c r="D593">
        <v>-1.0695216E-2</v>
      </c>
      <c r="E593">
        <v>4.1199999999999999E-5</v>
      </c>
      <c r="F593">
        <v>3.6634245000000003E-2</v>
      </c>
      <c r="G593">
        <v>279.11745819427699</v>
      </c>
    </row>
    <row r="594" spans="1:7" x14ac:dyDescent="0.3">
      <c r="A594">
        <v>1591.5</v>
      </c>
      <c r="B594">
        <v>6.8433626999999997E-2</v>
      </c>
      <c r="C594">
        <v>-2.9549684E-2</v>
      </c>
      <c r="D594">
        <v>-1.0866242999999999E-2</v>
      </c>
      <c r="E594">
        <v>4.1199999999999999E-5</v>
      </c>
      <c r="F594">
        <v>2.8058899999999998E-2</v>
      </c>
      <c r="G594">
        <v>278.65895886211399</v>
      </c>
    </row>
    <row r="595" spans="1:7" x14ac:dyDescent="0.3">
      <c r="A595">
        <v>1592.5</v>
      </c>
      <c r="B595">
        <v>6.1241161000000002E-2</v>
      </c>
      <c r="C595">
        <v>-3.0481615E-2</v>
      </c>
      <c r="D595">
        <v>-1.1030158999999999E-2</v>
      </c>
      <c r="E595">
        <v>4.1199999999999999E-5</v>
      </c>
      <c r="F595">
        <v>1.9770586999999999E-2</v>
      </c>
      <c r="G595">
        <v>278.21646463808401</v>
      </c>
    </row>
    <row r="596" spans="1:7" x14ac:dyDescent="0.3">
      <c r="A596">
        <v>1593.5</v>
      </c>
      <c r="B596">
        <v>5.4227758000000001E-2</v>
      </c>
      <c r="C596">
        <v>-3.1258919000000003E-2</v>
      </c>
      <c r="D596">
        <v>-1.1188827E-2</v>
      </c>
      <c r="E596">
        <v>4.1199999999999999E-5</v>
      </c>
      <c r="F596">
        <v>1.1821211999999998E-2</v>
      </c>
      <c r="G596">
        <v>277.79267275045697</v>
      </c>
    </row>
    <row r="597" spans="1:7" x14ac:dyDescent="0.3">
      <c r="A597">
        <v>1594.5</v>
      </c>
      <c r="B597">
        <v>4.7205679E-2</v>
      </c>
      <c r="C597">
        <v>-3.1873284000000002E-2</v>
      </c>
      <c r="D597">
        <v>-1.1342420000000001E-2</v>
      </c>
      <c r="E597">
        <v>4.1199999999999999E-5</v>
      </c>
      <c r="F597">
        <v>4.031174999999998E-3</v>
      </c>
      <c r="G597">
        <v>277.37795152277602</v>
      </c>
    </row>
    <row r="598" spans="1:7" x14ac:dyDescent="0.3">
      <c r="A598">
        <v>1595.5</v>
      </c>
      <c r="B598">
        <v>4.0174899E-2</v>
      </c>
      <c r="C598">
        <v>-3.2324354999999999E-2</v>
      </c>
      <c r="D598">
        <v>-1.1490584999999999E-2</v>
      </c>
      <c r="E598">
        <v>4.1199999999999999E-5</v>
      </c>
      <c r="F598">
        <v>-3.5988409999999985E-3</v>
      </c>
      <c r="G598">
        <v>276.97230620292299</v>
      </c>
    </row>
    <row r="599" spans="1:7" x14ac:dyDescent="0.3">
      <c r="A599">
        <v>1596.5</v>
      </c>
      <c r="B599">
        <v>3.3135396999999997E-2</v>
      </c>
      <c r="C599">
        <v>-3.2611901999999998E-2</v>
      </c>
      <c r="D599">
        <v>-1.1633317000000001E-2</v>
      </c>
      <c r="E599">
        <v>4.1199999999999999E-5</v>
      </c>
      <c r="F599">
        <v>-1.1068622000000002E-2</v>
      </c>
      <c r="G599">
        <v>276.57574740184702</v>
      </c>
    </row>
    <row r="600" spans="1:7" x14ac:dyDescent="0.3">
      <c r="A600">
        <v>1597.5</v>
      </c>
      <c r="B600">
        <v>2.5804397999999999E-2</v>
      </c>
      <c r="C600">
        <v>-3.2731840999999998E-2</v>
      </c>
      <c r="D600">
        <v>-1.1769239000000001E-2</v>
      </c>
      <c r="E600">
        <v>4.1199999999999999E-5</v>
      </c>
      <c r="F600">
        <v>-1.8655482000000001E-2</v>
      </c>
      <c r="G600">
        <v>276.17355459566801</v>
      </c>
    </row>
    <row r="601" spans="1:7" x14ac:dyDescent="0.3">
      <c r="A601">
        <v>1598.5</v>
      </c>
      <c r="B601">
        <v>1.8275473E-2</v>
      </c>
      <c r="C601">
        <v>-3.2684033000000001E-2</v>
      </c>
      <c r="D601">
        <v>-1.1899899E-2</v>
      </c>
      <c r="E601">
        <v>4.1199999999999999E-5</v>
      </c>
      <c r="F601">
        <v>-2.6267259000000001E-2</v>
      </c>
      <c r="G601">
        <v>275.77062906394298</v>
      </c>
    </row>
    <row r="602" spans="1:7" x14ac:dyDescent="0.3">
      <c r="A602">
        <v>1599.5</v>
      </c>
      <c r="B602">
        <v>1.0547842E-2</v>
      </c>
      <c r="C602">
        <v>-3.2472508999999997E-2</v>
      </c>
      <c r="D602">
        <v>-1.202512E-2</v>
      </c>
      <c r="E602">
        <v>4.1199999999999999E-5</v>
      </c>
      <c r="F602">
        <v>-3.390858699999999E-2</v>
      </c>
      <c r="G602">
        <v>275.36673086667099</v>
      </c>
    </row>
    <row r="603" spans="1:7" x14ac:dyDescent="0.3">
      <c r="A603">
        <v>1600.5</v>
      </c>
      <c r="B603">
        <v>2.4326780000000002E-3</v>
      </c>
      <c r="C603">
        <v>-3.2089437999999998E-2</v>
      </c>
      <c r="D603">
        <v>-1.214352E-2</v>
      </c>
      <c r="E603">
        <v>4.1199999999999999E-5</v>
      </c>
      <c r="F603">
        <v>-4.175907999999999E-2</v>
      </c>
      <c r="G603">
        <v>274.95239316160502</v>
      </c>
    </row>
    <row r="604" spans="1:7" x14ac:dyDescent="0.3">
      <c r="A604">
        <v>1601.5</v>
      </c>
      <c r="B604">
        <v>-6.0729E-3</v>
      </c>
      <c r="C604">
        <v>-3.1538989000000003E-2</v>
      </c>
      <c r="D604">
        <v>-1.2254925999999999E-2</v>
      </c>
      <c r="E604">
        <v>4.1199999999999999E-5</v>
      </c>
      <c r="F604">
        <v>-4.9825614999999997E-2</v>
      </c>
      <c r="G604">
        <v>274.527302827146</v>
      </c>
    </row>
    <row r="605" spans="1:7" x14ac:dyDescent="0.3">
      <c r="A605">
        <v>1602.5</v>
      </c>
      <c r="B605">
        <v>-1.5066781E-2</v>
      </c>
      <c r="C605">
        <v>-3.082141E-2</v>
      </c>
      <c r="D605">
        <v>-1.2360896E-2</v>
      </c>
      <c r="E605">
        <v>4.1199999999999999E-5</v>
      </c>
      <c r="F605">
        <v>-5.8207887E-2</v>
      </c>
      <c r="G605">
        <v>274.08627022913998</v>
      </c>
    </row>
    <row r="606" spans="1:7" x14ac:dyDescent="0.3">
      <c r="A606">
        <v>1603.5</v>
      </c>
      <c r="B606">
        <v>-2.4645073999999999E-2</v>
      </c>
      <c r="C606">
        <v>-2.9933114E-2</v>
      </c>
      <c r="D606">
        <v>-1.2461603999999999E-2</v>
      </c>
      <c r="E606">
        <v>4.1199999999999999E-5</v>
      </c>
      <c r="F606">
        <v>-6.699859200000001E-2</v>
      </c>
      <c r="G606">
        <v>273.62450933117799</v>
      </c>
    </row>
    <row r="607" spans="1:7" x14ac:dyDescent="0.3">
      <c r="A607">
        <v>1604.5</v>
      </c>
      <c r="B607">
        <v>-3.4620663000000003E-2</v>
      </c>
      <c r="C607">
        <v>-2.8878602999999999E-2</v>
      </c>
      <c r="D607">
        <v>-1.2555307999999999E-2</v>
      </c>
      <c r="E607">
        <v>4.1199999999999999E-5</v>
      </c>
      <c r="F607">
        <v>-7.6013374000000009E-2</v>
      </c>
      <c r="G607">
        <v>273.15178617362801</v>
      </c>
    </row>
    <row r="608" spans="1:7" x14ac:dyDescent="0.3">
      <c r="A608">
        <v>1605.5</v>
      </c>
      <c r="B608">
        <v>-4.4806061000000001E-2</v>
      </c>
      <c r="C608">
        <v>-2.7670272999999999E-2</v>
      </c>
      <c r="D608">
        <v>-1.2642003000000001E-2</v>
      </c>
      <c r="E608">
        <v>4.1199999999999999E-5</v>
      </c>
      <c r="F608">
        <v>-8.5077137000000011E-2</v>
      </c>
      <c r="G608">
        <v>272.67731817949101</v>
      </c>
    </row>
    <row r="609" spans="1:7" x14ac:dyDescent="0.3">
      <c r="A609">
        <v>1606.5</v>
      </c>
      <c r="B609">
        <v>-5.5012352E-2</v>
      </c>
      <c r="C609">
        <v>-2.6352362000000001E-2</v>
      </c>
      <c r="D609">
        <v>-1.272153E-2</v>
      </c>
      <c r="E609">
        <v>4.1199999999999999E-5</v>
      </c>
      <c r="F609">
        <v>-9.4045044000000008E-2</v>
      </c>
      <c r="G609">
        <v>272.208679255466</v>
      </c>
    </row>
    <row r="610" spans="1:7" x14ac:dyDescent="0.3">
      <c r="A610">
        <v>1607.5</v>
      </c>
      <c r="B610">
        <v>-6.4760587999999994E-2</v>
      </c>
      <c r="C610">
        <v>-2.4984717E-2</v>
      </c>
      <c r="D610">
        <v>-1.2795803E-2</v>
      </c>
      <c r="E610">
        <v>4.1199999999999999E-5</v>
      </c>
      <c r="F610">
        <v>-0.102499908</v>
      </c>
      <c r="G610">
        <v>271.76758855577202</v>
      </c>
    </row>
    <row r="611" spans="1:7" x14ac:dyDescent="0.3">
      <c r="A611">
        <v>1608.5</v>
      </c>
      <c r="B611">
        <v>-7.3663704999999996E-2</v>
      </c>
      <c r="C611">
        <v>-2.3618994000000001E-2</v>
      </c>
      <c r="D611">
        <v>-1.2863273999999999E-2</v>
      </c>
      <c r="E611">
        <v>4.1199999999999999E-5</v>
      </c>
      <c r="F611">
        <v>-0.110104773</v>
      </c>
      <c r="G611">
        <v>271.371453135948</v>
      </c>
    </row>
    <row r="612" spans="1:7" x14ac:dyDescent="0.3">
      <c r="A612">
        <v>1609.5</v>
      </c>
      <c r="B612">
        <v>-8.1334232000000006E-2</v>
      </c>
      <c r="C612">
        <v>-2.2306561999999999E-2</v>
      </c>
      <c r="D612">
        <v>-1.2923607E-2</v>
      </c>
      <c r="E612">
        <v>4.1199999999999999E-5</v>
      </c>
      <c r="F612">
        <v>-0.11652320100000002</v>
      </c>
      <c r="G612">
        <v>271.03756855012301</v>
      </c>
    </row>
    <row r="613" spans="1:7" x14ac:dyDescent="0.3">
      <c r="A613">
        <v>1610.5</v>
      </c>
      <c r="B613">
        <v>-8.7575396999999999E-2</v>
      </c>
      <c r="C613">
        <v>-2.1102404000000002E-2</v>
      </c>
      <c r="D613">
        <v>-1.2978730000000001E-2</v>
      </c>
      <c r="E613">
        <v>4.1199999999999999E-5</v>
      </c>
      <c r="F613">
        <v>-0.12161533100000002</v>
      </c>
      <c r="G613">
        <v>270.772969988081</v>
      </c>
    </row>
    <row r="614" spans="1:7" x14ac:dyDescent="0.3">
      <c r="A614">
        <v>1611.5</v>
      </c>
      <c r="B614">
        <v>-9.2477788000000005E-2</v>
      </c>
      <c r="C614">
        <v>-2.0045579000000001E-2</v>
      </c>
      <c r="D614">
        <v>-1.3026945999999999E-2</v>
      </c>
      <c r="E614">
        <v>4.1199999999999999E-5</v>
      </c>
      <c r="F614">
        <v>-0.12550911300000003</v>
      </c>
      <c r="G614">
        <v>270.57081491626798</v>
      </c>
    </row>
    <row r="615" spans="1:7" x14ac:dyDescent="0.3">
      <c r="A615">
        <v>1612.5</v>
      </c>
      <c r="B615">
        <v>-9.6037615000000007E-2</v>
      </c>
      <c r="C615">
        <v>-1.9143439000000002E-2</v>
      </c>
      <c r="D615">
        <v>-1.3068259E-2</v>
      </c>
      <c r="E615">
        <v>4.1199999999999999E-5</v>
      </c>
      <c r="F615">
        <v>-0.12820811300000001</v>
      </c>
      <c r="G615">
        <v>270.430778559327</v>
      </c>
    </row>
    <row r="616" spans="1:7" x14ac:dyDescent="0.3">
      <c r="A616">
        <v>1613.5</v>
      </c>
      <c r="B616">
        <v>-9.8251166000000001E-2</v>
      </c>
      <c r="C616">
        <v>-1.8375915E-2</v>
      </c>
      <c r="D616">
        <v>-1.3102657E-2</v>
      </c>
      <c r="E616">
        <v>4.1199999999999999E-5</v>
      </c>
      <c r="F616">
        <v>-0.12968853799999999</v>
      </c>
      <c r="G616">
        <v>270.35399853779302</v>
      </c>
    </row>
    <row r="617" spans="1:7" x14ac:dyDescent="0.3">
      <c r="A617">
        <v>1614.5</v>
      </c>
      <c r="B617">
        <v>-9.9310365999999997E-2</v>
      </c>
      <c r="C617">
        <v>-1.773483E-2</v>
      </c>
      <c r="D617">
        <v>-1.3129973E-2</v>
      </c>
      <c r="E617">
        <v>4.1199999999999999E-5</v>
      </c>
      <c r="F617">
        <v>-0.13013396899999999</v>
      </c>
      <c r="G617">
        <v>270.33090162976299</v>
      </c>
    </row>
    <row r="618" spans="1:7" x14ac:dyDescent="0.3">
      <c r="A618">
        <v>1615.5</v>
      </c>
      <c r="B618">
        <v>-9.9310374000000007E-2</v>
      </c>
      <c r="C618">
        <v>-1.7208060000000001E-2</v>
      </c>
      <c r="D618">
        <v>-1.3152281E-2</v>
      </c>
      <c r="E618">
        <v>4.1199999999999999E-5</v>
      </c>
      <c r="F618">
        <v>-0.129629515</v>
      </c>
      <c r="G618">
        <v>270.35706053285497</v>
      </c>
    </row>
    <row r="619" spans="1:7" x14ac:dyDescent="0.3">
      <c r="A619">
        <v>1616.5</v>
      </c>
      <c r="B619">
        <v>-9.8251190000000002E-2</v>
      </c>
      <c r="C619">
        <v>-1.6779794000000001E-2</v>
      </c>
      <c r="D619">
        <v>-1.3169398000000001E-2</v>
      </c>
      <c r="E619">
        <v>4.1199999999999999E-5</v>
      </c>
      <c r="F619">
        <v>-0.12815918200000001</v>
      </c>
      <c r="G619">
        <v>270.43331916328299</v>
      </c>
    </row>
    <row r="620" spans="1:7" x14ac:dyDescent="0.3">
      <c r="A620">
        <v>1617.5</v>
      </c>
      <c r="B620">
        <v>-9.6326990000000001E-2</v>
      </c>
      <c r="C620">
        <v>-1.6445959999999999E-2</v>
      </c>
      <c r="D620">
        <v>-1.3179430000000001E-2</v>
      </c>
      <c r="E620">
        <v>4.1199999999999999E-5</v>
      </c>
      <c r="F620">
        <v>-0.12591118000000001</v>
      </c>
      <c r="G620">
        <v>270.54995276998801</v>
      </c>
    </row>
    <row r="621" spans="1:7" x14ac:dyDescent="0.3">
      <c r="A621">
        <v>1618.5</v>
      </c>
      <c r="B621">
        <v>-9.3536815999999995E-2</v>
      </c>
      <c r="C621">
        <v>-1.619073E-2</v>
      </c>
      <c r="D621">
        <v>-1.318427E-2</v>
      </c>
      <c r="E621">
        <v>4.1199999999999999E-5</v>
      </c>
      <c r="F621">
        <v>-0.122870616</v>
      </c>
      <c r="G621">
        <v>270.70778677745</v>
      </c>
    </row>
    <row r="622" spans="1:7" x14ac:dyDescent="0.3">
      <c r="A622">
        <v>1619.5</v>
      </c>
      <c r="B622">
        <v>-8.9978708000000004E-2</v>
      </c>
      <c r="C622">
        <v>-1.6002334999999999E-2</v>
      </c>
      <c r="D622">
        <v>-1.3183917E-2</v>
      </c>
      <c r="E622">
        <v>4.1199999999999999E-5</v>
      </c>
      <c r="F622">
        <v>-0.11912376000000001</v>
      </c>
      <c r="G622">
        <v>270.90241063757298</v>
      </c>
    </row>
    <row r="623" spans="1:7" x14ac:dyDescent="0.3">
      <c r="A623">
        <v>1620.5</v>
      </c>
      <c r="B623">
        <v>-8.5847380000000001E-2</v>
      </c>
      <c r="C623">
        <v>-1.5868912999999998E-2</v>
      </c>
      <c r="D623">
        <v>-1.3178374E-2</v>
      </c>
      <c r="E623">
        <v>4.1199999999999999E-5</v>
      </c>
      <c r="F623">
        <v>-0.11485346700000001</v>
      </c>
      <c r="G623">
        <v>271.12439395323798</v>
      </c>
    </row>
    <row r="624" spans="1:7" x14ac:dyDescent="0.3">
      <c r="A624">
        <v>1621.5</v>
      </c>
      <c r="B624">
        <v>-8.1143240000000005E-2</v>
      </c>
      <c r="C624">
        <v>-1.5778658000000001E-2</v>
      </c>
      <c r="D624">
        <v>-1.3167633999999999E-2</v>
      </c>
      <c r="E624">
        <v>4.1199999999999999E-5</v>
      </c>
      <c r="F624">
        <v>-0.11004833200000001</v>
      </c>
      <c r="G624">
        <v>271.37439738922899</v>
      </c>
    </row>
    <row r="625" spans="1:7" x14ac:dyDescent="0.3">
      <c r="A625">
        <v>1622.5</v>
      </c>
      <c r="B625">
        <v>-7.5964230999999993E-2</v>
      </c>
      <c r="C625">
        <v>-1.5719778E-2</v>
      </c>
      <c r="D625">
        <v>-1.3151523E-2</v>
      </c>
      <c r="E625">
        <v>4.1199999999999999E-5</v>
      </c>
      <c r="F625">
        <v>-0.104794332</v>
      </c>
      <c r="G625">
        <v>271.64801847269302</v>
      </c>
    </row>
    <row r="626" spans="1:7" x14ac:dyDescent="0.3">
      <c r="A626">
        <v>1623.5</v>
      </c>
      <c r="B626">
        <v>-7.0407103999999998E-2</v>
      </c>
      <c r="C626">
        <v>-1.5680521999999999E-2</v>
      </c>
      <c r="D626">
        <v>-1.3130212E-2</v>
      </c>
      <c r="E626">
        <v>4.1199999999999999E-5</v>
      </c>
      <c r="F626">
        <v>-9.9176638000000011E-2</v>
      </c>
      <c r="G626">
        <v>271.94088536674099</v>
      </c>
    </row>
    <row r="627" spans="1:7" x14ac:dyDescent="0.3">
      <c r="A627">
        <v>1624.5</v>
      </c>
      <c r="B627">
        <v>-6.4569250999999994E-2</v>
      </c>
      <c r="C627">
        <v>-1.5649105999999999E-2</v>
      </c>
      <c r="D627">
        <v>-1.3103872000000001E-2</v>
      </c>
      <c r="E627">
        <v>4.1199999999999999E-5</v>
      </c>
      <c r="F627">
        <v>-9.3281029000000001E-2</v>
      </c>
      <c r="G627">
        <v>272.24858021777499</v>
      </c>
    </row>
    <row r="628" spans="1:7" x14ac:dyDescent="0.3">
      <c r="A628">
        <v>1625.5</v>
      </c>
      <c r="B628">
        <v>-5.8451622000000002E-2</v>
      </c>
      <c r="C628">
        <v>-1.5613788E-2</v>
      </c>
      <c r="D628">
        <v>-1.3072151000000001E-2</v>
      </c>
      <c r="E628">
        <v>4.1199999999999999E-5</v>
      </c>
      <c r="F628">
        <v>-8.7096361000000011E-2</v>
      </c>
      <c r="G628">
        <v>272.57173547163097</v>
      </c>
    </row>
    <row r="629" spans="1:7" x14ac:dyDescent="0.3">
      <c r="A629">
        <v>1626.5</v>
      </c>
      <c r="B629">
        <v>-5.224521E-2</v>
      </c>
      <c r="C629">
        <v>-1.5566728E-2</v>
      </c>
      <c r="D629">
        <v>-1.3035227999999999E-2</v>
      </c>
      <c r="E629">
        <v>4.1199999999999999E-5</v>
      </c>
      <c r="F629">
        <v>-8.0805966000000007E-2</v>
      </c>
      <c r="G629">
        <v>272.90080855009001</v>
      </c>
    </row>
    <row r="630" spans="1:7" x14ac:dyDescent="0.3">
      <c r="A630">
        <v>1627.5</v>
      </c>
      <c r="B630">
        <v>-4.6046179E-2</v>
      </c>
      <c r="C630">
        <v>-1.549217E-2</v>
      </c>
      <c r="D630">
        <v>-1.2995003E-2</v>
      </c>
      <c r="E630">
        <v>4.1199999999999999E-5</v>
      </c>
      <c r="F630">
        <v>-7.4492152000000006E-2</v>
      </c>
      <c r="G630">
        <v>273.231506298699</v>
      </c>
    </row>
    <row r="631" spans="1:7" x14ac:dyDescent="0.3">
      <c r="A631">
        <v>1628.5</v>
      </c>
      <c r="B631">
        <v>-3.9854511000000002E-2</v>
      </c>
      <c r="C631">
        <v>-1.5378381E-2</v>
      </c>
      <c r="D631">
        <v>-1.2951123E-2</v>
      </c>
      <c r="E631">
        <v>4.1199999999999999E-5</v>
      </c>
      <c r="F631">
        <v>-6.8142815000000009E-2</v>
      </c>
      <c r="G631">
        <v>273.56446879696</v>
      </c>
    </row>
    <row r="632" spans="1:7" x14ac:dyDescent="0.3">
      <c r="A632">
        <v>1629.5</v>
      </c>
      <c r="B632">
        <v>-3.3860468999999997E-2</v>
      </c>
      <c r="C632">
        <v>-1.5213600000000001E-2</v>
      </c>
      <c r="D632">
        <v>-1.2903764E-2</v>
      </c>
      <c r="E632">
        <v>4.1199999999999999E-5</v>
      </c>
      <c r="F632">
        <v>-6.1936632999999991E-2</v>
      </c>
      <c r="G632">
        <v>273.89031635800097</v>
      </c>
    </row>
    <row r="633" spans="1:7" x14ac:dyDescent="0.3">
      <c r="A633">
        <v>1630.5</v>
      </c>
      <c r="B633">
        <v>-2.8063378999999999E-2</v>
      </c>
      <c r="C633">
        <v>-1.4993991E-2</v>
      </c>
      <c r="D633">
        <v>-1.2851196E-2</v>
      </c>
      <c r="E633">
        <v>4.1199999999999999E-5</v>
      </c>
      <c r="F633">
        <v>-5.5867365999999995E-2</v>
      </c>
      <c r="G633">
        <v>274.20935075175902</v>
      </c>
    </row>
    <row r="634" spans="1:7" x14ac:dyDescent="0.3">
      <c r="A634">
        <v>1631.5</v>
      </c>
      <c r="B634">
        <v>-2.2367188999999999E-2</v>
      </c>
      <c r="C634">
        <v>-1.4735221E-2</v>
      </c>
      <c r="D634">
        <v>-1.2793252E-2</v>
      </c>
      <c r="E634">
        <v>4.1199999999999999E-5</v>
      </c>
      <c r="F634">
        <v>-4.9854461999999995E-2</v>
      </c>
      <c r="G634">
        <v>274.52578896096401</v>
      </c>
    </row>
    <row r="635" spans="1:7" x14ac:dyDescent="0.3">
      <c r="A635">
        <v>1632.5</v>
      </c>
      <c r="B635">
        <v>-1.6866877999999998E-2</v>
      </c>
      <c r="C635">
        <v>-1.4456920999999999E-2</v>
      </c>
      <c r="D635">
        <v>-1.2732027999999999E-2</v>
      </c>
      <c r="E635">
        <v>4.1199999999999999E-5</v>
      </c>
      <c r="F635">
        <v>-4.4014626999999994E-2</v>
      </c>
      <c r="G635">
        <v>274.83346885406502</v>
      </c>
    </row>
    <row r="636" spans="1:7" x14ac:dyDescent="0.3">
      <c r="A636">
        <v>1633.5</v>
      </c>
      <c r="B636">
        <v>-1.1561831999999999E-2</v>
      </c>
      <c r="C636">
        <v>-1.4186567000000001E-2</v>
      </c>
      <c r="D636">
        <v>-1.2667368E-2</v>
      </c>
      <c r="E636">
        <v>4.1199999999999999E-5</v>
      </c>
      <c r="F636">
        <v>-3.8374566999999991E-2</v>
      </c>
      <c r="G636">
        <v>275.13095058755698</v>
      </c>
    </row>
    <row r="637" spans="1:7" x14ac:dyDescent="0.3">
      <c r="A637">
        <v>1634.5</v>
      </c>
      <c r="B637">
        <v>-6.4514630000000002E-3</v>
      </c>
      <c r="C637">
        <v>-1.3947598E-2</v>
      </c>
      <c r="D637">
        <v>-1.2599117E-2</v>
      </c>
      <c r="E637">
        <v>4.1199999999999999E-5</v>
      </c>
      <c r="F637">
        <v>-3.2956977999999998E-2</v>
      </c>
      <c r="G637">
        <v>275.41700158514499</v>
      </c>
    </row>
    <row r="638" spans="1:7" x14ac:dyDescent="0.3">
      <c r="A638">
        <v>1635.5</v>
      </c>
      <c r="B638">
        <v>-1.6302280000000001E-3</v>
      </c>
      <c r="C638">
        <v>-1.3759574E-2</v>
      </c>
      <c r="D638">
        <v>-1.2527639E-2</v>
      </c>
      <c r="E638">
        <v>4.1199999999999999E-5</v>
      </c>
      <c r="F638">
        <v>-2.7876241000000003E-2</v>
      </c>
      <c r="G638">
        <v>275.68553694145402</v>
      </c>
    </row>
    <row r="639" spans="1:7" x14ac:dyDescent="0.3">
      <c r="A639">
        <v>1636.5</v>
      </c>
      <c r="B639">
        <v>2.9986209999999999E-3</v>
      </c>
      <c r="C639">
        <v>-1.3649873E-2</v>
      </c>
      <c r="D639">
        <v>-1.2452773E-2</v>
      </c>
      <c r="E639">
        <v>4.1199999999999999E-5</v>
      </c>
      <c r="F639">
        <v>-2.3062825000000002E-2</v>
      </c>
      <c r="G639">
        <v>275.94018505753701</v>
      </c>
    </row>
    <row r="640" spans="1:7" x14ac:dyDescent="0.3">
      <c r="A640">
        <v>1637.5</v>
      </c>
      <c r="B640">
        <v>7.4348729999999998E-3</v>
      </c>
      <c r="C640">
        <v>-1.3642019999999999E-2</v>
      </c>
      <c r="D640">
        <v>-1.2376089999999999E-2</v>
      </c>
      <c r="E640">
        <v>4.1199999999999999E-5</v>
      </c>
      <c r="F640">
        <v>-1.8542037000000001E-2</v>
      </c>
      <c r="G640">
        <v>276.17956633319898</v>
      </c>
    </row>
    <row r="641" spans="1:7" x14ac:dyDescent="0.3">
      <c r="A641">
        <v>1638.5</v>
      </c>
      <c r="B641">
        <v>1.1585134E-2</v>
      </c>
      <c r="C641">
        <v>-1.3759489E-2</v>
      </c>
      <c r="D641">
        <v>-1.2296054000000001E-2</v>
      </c>
      <c r="E641">
        <v>4.1199999999999999E-5</v>
      </c>
      <c r="F641">
        <v>-1.4429209E-2</v>
      </c>
      <c r="G641">
        <v>276.39752618833398</v>
      </c>
    </row>
    <row r="642" spans="1:7" x14ac:dyDescent="0.3">
      <c r="A642">
        <v>1639.5</v>
      </c>
      <c r="B642">
        <v>1.5450030999999999E-2</v>
      </c>
      <c r="C642">
        <v>-1.4025769E-2</v>
      </c>
      <c r="D642">
        <v>-1.221095E-2</v>
      </c>
      <c r="E642">
        <v>4.1199999999999999E-5</v>
      </c>
      <c r="F642">
        <v>-1.0745488000000001E-2</v>
      </c>
      <c r="G642">
        <v>276.59289150839498</v>
      </c>
    </row>
    <row r="643" spans="1:7" x14ac:dyDescent="0.3">
      <c r="A643">
        <v>1640.5</v>
      </c>
      <c r="B643">
        <v>1.9122947000000001E-2</v>
      </c>
      <c r="C643">
        <v>-1.446062E-2</v>
      </c>
      <c r="D643">
        <v>-1.2124239E-2</v>
      </c>
      <c r="E643">
        <v>4.1199999999999999E-5</v>
      </c>
      <c r="F643">
        <v>-7.4207119999999994E-3</v>
      </c>
      <c r="G643">
        <v>276.76933885188703</v>
      </c>
    </row>
    <row r="644" spans="1:7" x14ac:dyDescent="0.3">
      <c r="A644">
        <v>1641.5</v>
      </c>
      <c r="B644">
        <v>2.2511507E-2</v>
      </c>
      <c r="C644">
        <v>-1.5083876E-2</v>
      </c>
      <c r="D644">
        <v>-1.2036112E-2</v>
      </c>
      <c r="E644">
        <v>4.1199999999999999E-5</v>
      </c>
      <c r="F644">
        <v>-4.5672809999999994E-3</v>
      </c>
      <c r="G644">
        <v>276.92086162883999</v>
      </c>
    </row>
    <row r="645" spans="1:7" x14ac:dyDescent="0.3">
      <c r="A645">
        <v>1642.5</v>
      </c>
      <c r="B645">
        <v>2.5521651999999999E-2</v>
      </c>
      <c r="C645">
        <v>-1.5884075000000001E-2</v>
      </c>
      <c r="D645">
        <v>-1.1944661000000001E-2</v>
      </c>
      <c r="E645">
        <v>4.1199999999999999E-5</v>
      </c>
      <c r="F645">
        <v>-2.2658840000000027E-3</v>
      </c>
      <c r="G645">
        <v>277.04313075987102</v>
      </c>
    </row>
    <row r="646" spans="1:7" x14ac:dyDescent="0.3">
      <c r="A646">
        <v>1643.5</v>
      </c>
      <c r="B646">
        <v>2.8342095000000001E-2</v>
      </c>
      <c r="C646">
        <v>-1.6818493E-2</v>
      </c>
      <c r="D646">
        <v>-1.1851402E-2</v>
      </c>
      <c r="E646">
        <v>4.1199999999999999E-5</v>
      </c>
      <c r="F646">
        <v>-2.8659999999999959E-4</v>
      </c>
      <c r="G646">
        <v>277.14832979431202</v>
      </c>
    </row>
    <row r="647" spans="1:7" x14ac:dyDescent="0.3">
      <c r="A647">
        <v>1644.5</v>
      </c>
      <c r="B647">
        <v>3.0879573E-2</v>
      </c>
      <c r="C647">
        <v>-1.7848183E-2</v>
      </c>
      <c r="D647">
        <v>-1.1756488000000001E-2</v>
      </c>
      <c r="E647">
        <v>4.1199999999999999E-5</v>
      </c>
      <c r="F647">
        <v>1.3161019999999996E-3</v>
      </c>
      <c r="G647">
        <v>277.23354190093102</v>
      </c>
    </row>
    <row r="648" spans="1:7" x14ac:dyDescent="0.3">
      <c r="A648">
        <v>1645.5</v>
      </c>
      <c r="B648">
        <v>3.3134466000000001E-2</v>
      </c>
      <c r="C648">
        <v>-1.8934067999999998E-2</v>
      </c>
      <c r="D648">
        <v>-1.1658162999999999E-2</v>
      </c>
      <c r="E648">
        <v>4.1199999999999999E-5</v>
      </c>
      <c r="F648">
        <v>2.5834350000000037E-3</v>
      </c>
      <c r="G648">
        <v>277.30094022503903</v>
      </c>
    </row>
    <row r="649" spans="1:7" x14ac:dyDescent="0.3">
      <c r="A649">
        <v>1646.5</v>
      </c>
      <c r="B649">
        <v>3.5107109999999997E-2</v>
      </c>
      <c r="C649">
        <v>-2.0036914999999999E-2</v>
      </c>
      <c r="D649">
        <v>-1.1558130999999999E-2</v>
      </c>
      <c r="E649">
        <v>4.1199999999999999E-5</v>
      </c>
      <c r="F649">
        <v>3.5532639999999987E-3</v>
      </c>
      <c r="G649">
        <v>277.352527160911</v>
      </c>
    </row>
    <row r="650" spans="1:7" x14ac:dyDescent="0.3">
      <c r="A650">
        <v>1647.5</v>
      </c>
      <c r="B650">
        <v>3.6796865999999998E-2</v>
      </c>
      <c r="C650">
        <v>-2.1113392000000002E-2</v>
      </c>
      <c r="D650">
        <v>-1.1456193E-2</v>
      </c>
      <c r="E650">
        <v>4.1199999999999999E-5</v>
      </c>
      <c r="F650">
        <v>4.2684809999999958E-3</v>
      </c>
      <c r="G650">
        <v>277.39057651333201</v>
      </c>
    </row>
    <row r="651" spans="1:7" x14ac:dyDescent="0.3">
      <c r="A651">
        <v>1648.5</v>
      </c>
      <c r="B651">
        <v>3.8298341999999999E-2</v>
      </c>
      <c r="C651">
        <v>-2.2123942000000001E-2</v>
      </c>
      <c r="D651">
        <v>-1.1352493E-2</v>
      </c>
      <c r="E651">
        <v>4.1199999999999999E-5</v>
      </c>
      <c r="F651">
        <v>4.8631069999999985E-3</v>
      </c>
      <c r="G651">
        <v>277.422214177169</v>
      </c>
    </row>
    <row r="652" spans="1:7" x14ac:dyDescent="0.3">
      <c r="A652">
        <v>1649.5</v>
      </c>
      <c r="B652">
        <v>3.9518287999999999E-2</v>
      </c>
      <c r="C652">
        <v>-2.3028778E-2</v>
      </c>
      <c r="D652">
        <v>-1.1248915E-2</v>
      </c>
      <c r="E652">
        <v>4.1199999999999999E-5</v>
      </c>
      <c r="F652">
        <v>5.2817949999999989E-3</v>
      </c>
      <c r="G652">
        <v>277.444492915713</v>
      </c>
    </row>
    <row r="653" spans="1:7" x14ac:dyDescent="0.3">
      <c r="A653">
        <v>1650.5</v>
      </c>
      <c r="B653">
        <v>4.0455949999999997E-2</v>
      </c>
      <c r="C653">
        <v>-2.3784092999999999E-2</v>
      </c>
      <c r="D653">
        <v>-1.1141804E-2</v>
      </c>
      <c r="E653">
        <v>4.1199999999999999E-5</v>
      </c>
      <c r="F653">
        <v>5.5712529999999982E-3</v>
      </c>
      <c r="G653">
        <v>277.45989621857899</v>
      </c>
    </row>
    <row r="654" spans="1:7" x14ac:dyDescent="0.3">
      <c r="A654">
        <v>1651.5</v>
      </c>
      <c r="B654">
        <v>4.1205776999999999E-2</v>
      </c>
      <c r="C654">
        <v>-2.4377651E-2</v>
      </c>
      <c r="D654">
        <v>-1.1032879000000001E-2</v>
      </c>
      <c r="E654">
        <v>4.1199999999999999E-5</v>
      </c>
      <c r="F654">
        <v>5.8364469999999981E-3</v>
      </c>
      <c r="G654">
        <v>277.47400901885999</v>
      </c>
    </row>
    <row r="655" spans="1:7" x14ac:dyDescent="0.3">
      <c r="A655">
        <v>1652.5</v>
      </c>
      <c r="B655">
        <v>4.1768777999999999E-2</v>
      </c>
      <c r="C655">
        <v>-2.4809158000000001E-2</v>
      </c>
      <c r="D655">
        <v>-1.0923871999999999E-2</v>
      </c>
      <c r="E655">
        <v>4.1199999999999999E-5</v>
      </c>
      <c r="F655">
        <v>6.0769479999999987E-3</v>
      </c>
      <c r="G655">
        <v>277.48680842506701</v>
      </c>
    </row>
    <row r="656" spans="1:7" x14ac:dyDescent="0.3">
      <c r="A656">
        <v>1653.5</v>
      </c>
      <c r="B656">
        <v>4.2049782000000001E-2</v>
      </c>
      <c r="C656">
        <v>-2.5090330000000001E-2</v>
      </c>
      <c r="D656">
        <v>-1.0813067000000001E-2</v>
      </c>
      <c r="E656">
        <v>4.1199999999999999E-5</v>
      </c>
      <c r="F656">
        <v>6.1875849999999989E-3</v>
      </c>
      <c r="G656">
        <v>277.49269671634698</v>
      </c>
    </row>
    <row r="657" spans="1:7" x14ac:dyDescent="0.3">
      <c r="A657">
        <v>1654.5</v>
      </c>
      <c r="B657">
        <v>4.2049765000000003E-2</v>
      </c>
      <c r="C657">
        <v>-2.5232898E-2</v>
      </c>
      <c r="D657">
        <v>-1.0702201999999999E-2</v>
      </c>
      <c r="E657">
        <v>4.1199999999999999E-5</v>
      </c>
      <c r="F657">
        <v>6.1558650000000034E-3</v>
      </c>
      <c r="G657">
        <v>277.49100869829499</v>
      </c>
    </row>
    <row r="658" spans="1:7" x14ac:dyDescent="0.3">
      <c r="A658">
        <v>1655.5</v>
      </c>
      <c r="B658">
        <v>4.1863024999999998E-2</v>
      </c>
      <c r="C658">
        <v>-2.5240741000000001E-2</v>
      </c>
      <c r="D658">
        <v>-1.0589375E-2</v>
      </c>
      <c r="E658">
        <v>4.1199999999999999E-5</v>
      </c>
      <c r="F658">
        <v>6.0741089999999977E-3</v>
      </c>
      <c r="G658">
        <v>277.48665775225101</v>
      </c>
    </row>
    <row r="659" spans="1:7" x14ac:dyDescent="0.3">
      <c r="A659">
        <v>1656.5</v>
      </c>
      <c r="B659">
        <v>4.1581977999999999E-2</v>
      </c>
      <c r="C659">
        <v>-2.5129729E-2</v>
      </c>
      <c r="D659">
        <v>-1.0474766E-2</v>
      </c>
      <c r="E659">
        <v>4.1199999999999999E-5</v>
      </c>
      <c r="F659">
        <v>6.0186829999999986E-3</v>
      </c>
      <c r="G659">
        <v>277.48370808599498</v>
      </c>
    </row>
    <row r="660" spans="1:7" x14ac:dyDescent="0.3">
      <c r="A660">
        <v>1657.5</v>
      </c>
      <c r="B660">
        <v>4.1206609999999998E-2</v>
      </c>
      <c r="C660">
        <v>-2.4907823999999999E-2</v>
      </c>
      <c r="D660">
        <v>-1.0360281000000001E-2</v>
      </c>
      <c r="E660">
        <v>4.1199999999999999E-5</v>
      </c>
      <c r="F660">
        <v>5.9797049999999984E-3</v>
      </c>
      <c r="G660">
        <v>277.48163384993097</v>
      </c>
    </row>
    <row r="661" spans="1:7" x14ac:dyDescent="0.3">
      <c r="A661">
        <v>1658.5</v>
      </c>
      <c r="B661">
        <v>4.0643521000000002E-2</v>
      </c>
      <c r="C661">
        <v>-2.4579039E-2</v>
      </c>
      <c r="D661">
        <v>-1.0245756999999999E-2</v>
      </c>
      <c r="E661">
        <v>4.1199999999999999E-5</v>
      </c>
      <c r="F661">
        <v>5.8599250000000019E-3</v>
      </c>
      <c r="G661">
        <v>277.475259451037</v>
      </c>
    </row>
    <row r="662" spans="1:7" x14ac:dyDescent="0.3">
      <c r="A662">
        <v>1659.5</v>
      </c>
      <c r="B662">
        <v>3.9892654999999999E-2</v>
      </c>
      <c r="C662">
        <v>-2.4159342E-2</v>
      </c>
      <c r="D662">
        <v>-1.0131204E-2</v>
      </c>
      <c r="E662">
        <v>4.1199999999999999E-5</v>
      </c>
      <c r="F662">
        <v>5.6433089999999991E-3</v>
      </c>
      <c r="G662">
        <v>277.46373190115003</v>
      </c>
    </row>
    <row r="663" spans="1:7" x14ac:dyDescent="0.3">
      <c r="A663">
        <v>1660.5</v>
      </c>
      <c r="B663">
        <v>3.9048281999999997E-2</v>
      </c>
      <c r="C663">
        <v>-2.3656758E-2</v>
      </c>
      <c r="D663">
        <v>-1.0016621999999999E-2</v>
      </c>
      <c r="E663">
        <v>4.1199999999999999E-5</v>
      </c>
      <c r="F663">
        <v>5.4161019999999973E-3</v>
      </c>
      <c r="G663">
        <v>277.45164114650697</v>
      </c>
    </row>
    <row r="664" spans="1:7" x14ac:dyDescent="0.3">
      <c r="A664">
        <v>1661.5</v>
      </c>
      <c r="B664">
        <v>3.8016001000000001E-2</v>
      </c>
      <c r="C664">
        <v>-2.3079318000000001E-2</v>
      </c>
      <c r="D664">
        <v>-9.9018500000000002E-3</v>
      </c>
      <c r="E664">
        <v>4.1199999999999999E-5</v>
      </c>
      <c r="F664">
        <v>5.0760329999999989E-3</v>
      </c>
      <c r="G664">
        <v>277.433545373014</v>
      </c>
    </row>
    <row r="665" spans="1:7" x14ac:dyDescent="0.3">
      <c r="A665">
        <v>1662.5</v>
      </c>
      <c r="B665">
        <v>3.6890089000000001E-2</v>
      </c>
      <c r="C665">
        <v>-2.243902E-2</v>
      </c>
      <c r="D665">
        <v>-9.7870609999999997E-3</v>
      </c>
      <c r="E665">
        <v>4.1199999999999999E-5</v>
      </c>
      <c r="F665">
        <v>4.7052080000000007E-3</v>
      </c>
      <c r="G665">
        <v>277.41381420125998</v>
      </c>
    </row>
    <row r="666" spans="1:7" x14ac:dyDescent="0.3">
      <c r="A666">
        <v>1663.5</v>
      </c>
      <c r="B666">
        <v>3.5763954000000001E-2</v>
      </c>
      <c r="C666">
        <v>-2.1747803E-2</v>
      </c>
      <c r="D666">
        <v>-9.6724329999999994E-3</v>
      </c>
      <c r="E666">
        <v>4.1199999999999999E-5</v>
      </c>
      <c r="F666">
        <v>4.3849180000000015E-3</v>
      </c>
      <c r="G666">
        <v>277.39677300888701</v>
      </c>
    </row>
    <row r="667" spans="1:7" x14ac:dyDescent="0.3">
      <c r="A667">
        <v>1664.5</v>
      </c>
      <c r="B667">
        <v>3.454318E-2</v>
      </c>
      <c r="C667">
        <v>-2.1013700999999999E-2</v>
      </c>
      <c r="D667">
        <v>-9.5578009999999995E-3</v>
      </c>
      <c r="E667">
        <v>4.1199999999999999E-5</v>
      </c>
      <c r="F667">
        <v>4.012878000000001E-3</v>
      </c>
      <c r="G667">
        <v>277.376979594396</v>
      </c>
    </row>
    <row r="668" spans="1:7" x14ac:dyDescent="0.3">
      <c r="A668">
        <v>1665.5</v>
      </c>
      <c r="B668">
        <v>3.3228639999999997E-2</v>
      </c>
      <c r="C668">
        <v>-2.0240729999999998E-2</v>
      </c>
      <c r="D668">
        <v>-9.4431670000000006E-3</v>
      </c>
      <c r="E668">
        <v>4.1199999999999999E-5</v>
      </c>
      <c r="F668">
        <v>3.5859429999999977E-3</v>
      </c>
      <c r="G668">
        <v>277.354267143036</v>
      </c>
    </row>
    <row r="669" spans="1:7" x14ac:dyDescent="0.3">
      <c r="A669">
        <v>1666.5</v>
      </c>
      <c r="B669">
        <v>3.1913797000000001E-2</v>
      </c>
      <c r="C669">
        <v>-1.9444726999999998E-2</v>
      </c>
      <c r="D669">
        <v>-9.3283640000000004E-3</v>
      </c>
      <c r="E669">
        <v>4.1199999999999999E-5</v>
      </c>
      <c r="F669">
        <v>3.1819060000000017E-3</v>
      </c>
      <c r="G669">
        <v>277.33277445192499</v>
      </c>
    </row>
    <row r="670" spans="1:7" x14ac:dyDescent="0.3">
      <c r="A670">
        <v>1667.5</v>
      </c>
      <c r="B670">
        <v>3.0504166999999999E-2</v>
      </c>
      <c r="C670">
        <v>-1.8637602999999999E-2</v>
      </c>
      <c r="D670">
        <v>-9.2153010000000004E-3</v>
      </c>
      <c r="E670">
        <v>4.1199999999999999E-5</v>
      </c>
      <c r="F670">
        <v>2.6924629999999991E-3</v>
      </c>
      <c r="G670">
        <v>277.30674054902403</v>
      </c>
    </row>
    <row r="671" spans="1:7" x14ac:dyDescent="0.3">
      <c r="A671">
        <v>1668.5</v>
      </c>
      <c r="B671">
        <v>2.8999678000000001E-2</v>
      </c>
      <c r="C671">
        <v>-1.7823296999999998E-2</v>
      </c>
      <c r="D671">
        <v>-9.1041520000000008E-3</v>
      </c>
      <c r="E671">
        <v>4.1199999999999999E-5</v>
      </c>
      <c r="F671">
        <v>2.1134290000000017E-3</v>
      </c>
      <c r="G671">
        <v>277.27594417357398</v>
      </c>
    </row>
    <row r="672" spans="1:7" x14ac:dyDescent="0.3">
      <c r="A672">
        <v>1669.5</v>
      </c>
      <c r="B672">
        <v>2.7589326000000001E-2</v>
      </c>
      <c r="C672">
        <v>-1.7013583999999998E-2</v>
      </c>
      <c r="D672">
        <v>-8.9930140000000006E-3</v>
      </c>
      <c r="E672">
        <v>4.1199999999999999E-5</v>
      </c>
      <c r="F672">
        <v>1.6239280000000019E-3</v>
      </c>
      <c r="G672">
        <v>277.24991205479103</v>
      </c>
    </row>
    <row r="673" spans="1:7" x14ac:dyDescent="0.3">
      <c r="A673">
        <v>1670.5</v>
      </c>
      <c r="B673">
        <v>2.6179561E-2</v>
      </c>
      <c r="C673">
        <v>-1.6220279000000001E-2</v>
      </c>
      <c r="D673">
        <v>-8.8836239999999997E-3</v>
      </c>
      <c r="E673">
        <v>4.1199999999999999E-5</v>
      </c>
      <c r="F673">
        <v>1.1168580000000001E-3</v>
      </c>
      <c r="G673">
        <v>277.22294800345202</v>
      </c>
    </row>
    <row r="674" spans="1:7" x14ac:dyDescent="0.3">
      <c r="A674">
        <v>1671.5</v>
      </c>
      <c r="B674">
        <v>2.4769447E-2</v>
      </c>
      <c r="C674">
        <v>-1.5447241E-2</v>
      </c>
      <c r="D674">
        <v>-8.7742570000000006E-3</v>
      </c>
      <c r="E674">
        <v>4.1199999999999999E-5</v>
      </c>
      <c r="F674">
        <v>5.8914899999999899E-4</v>
      </c>
      <c r="G674">
        <v>277.19488899153902</v>
      </c>
    </row>
    <row r="675" spans="1:7" x14ac:dyDescent="0.3">
      <c r="A675">
        <v>1672.5</v>
      </c>
      <c r="B675">
        <v>2.3452651000000001E-2</v>
      </c>
      <c r="C675">
        <v>-1.4706152E-2</v>
      </c>
      <c r="D675">
        <v>-8.6666390000000003E-3</v>
      </c>
      <c r="E675">
        <v>4.1199999999999999E-5</v>
      </c>
      <c r="F675">
        <v>1.2106000000000104E-4</v>
      </c>
      <c r="G675">
        <v>277.17000214042798</v>
      </c>
    </row>
    <row r="676" spans="1:7" x14ac:dyDescent="0.3">
      <c r="A676">
        <v>1673.5</v>
      </c>
      <c r="B676">
        <v>2.2134613000000001E-2</v>
      </c>
      <c r="C676">
        <v>-1.4008738E-2</v>
      </c>
      <c r="D676">
        <v>-8.5607789999999993E-3</v>
      </c>
      <c r="E676">
        <v>4.1199999999999999E-5</v>
      </c>
      <c r="F676">
        <v>-3.9370399999999809E-4</v>
      </c>
      <c r="G676">
        <v>277.14263616088999</v>
      </c>
    </row>
    <row r="677" spans="1:7" x14ac:dyDescent="0.3">
      <c r="A677">
        <v>1674.5</v>
      </c>
      <c r="B677">
        <v>2.0816270000000001E-2</v>
      </c>
      <c r="C677">
        <v>-1.3366618E-2</v>
      </c>
      <c r="D677">
        <v>-8.4566799999999994E-3</v>
      </c>
      <c r="E677">
        <v>4.1199999999999999E-5</v>
      </c>
      <c r="F677">
        <v>-9.6582799999999844E-4</v>
      </c>
      <c r="G677">
        <v>277.11222381230903</v>
      </c>
    </row>
    <row r="678" spans="1:7" x14ac:dyDescent="0.3">
      <c r="A678">
        <v>1675.5</v>
      </c>
      <c r="B678">
        <v>1.9498558999999999E-2</v>
      </c>
      <c r="C678">
        <v>-1.2787463000000001E-2</v>
      </c>
      <c r="D678">
        <v>-8.3543460000000003E-3</v>
      </c>
      <c r="E678">
        <v>4.1199999999999999E-5</v>
      </c>
      <c r="F678">
        <v>-1.6020500000000024E-3</v>
      </c>
      <c r="G678">
        <v>277.07840823056199</v>
      </c>
    </row>
    <row r="679" spans="1:7" x14ac:dyDescent="0.3">
      <c r="A679">
        <v>1676.5</v>
      </c>
      <c r="B679">
        <v>1.8368982999999998E-2</v>
      </c>
      <c r="C679">
        <v>-1.2275121999999999E-2</v>
      </c>
      <c r="D679">
        <v>-8.2537679999999999E-3</v>
      </c>
      <c r="E679">
        <v>4.1199999999999999E-5</v>
      </c>
      <c r="F679">
        <v>-2.1187070000000009E-3</v>
      </c>
      <c r="G679">
        <v>277.05095050648498</v>
      </c>
    </row>
    <row r="680" spans="1:7" x14ac:dyDescent="0.3">
      <c r="A680">
        <v>1677.5</v>
      </c>
      <c r="B680">
        <v>1.733295E-2</v>
      </c>
      <c r="C680">
        <v>-1.1841226E-2</v>
      </c>
      <c r="D680">
        <v>-8.156679E-3</v>
      </c>
      <c r="E680">
        <v>4.1199999999999999E-5</v>
      </c>
      <c r="F680">
        <v>-2.6237550000000002E-3</v>
      </c>
      <c r="G680">
        <v>277.02411244108202</v>
      </c>
    </row>
    <row r="681" spans="1:7" x14ac:dyDescent="0.3">
      <c r="A681">
        <v>1678.5</v>
      </c>
      <c r="B681">
        <v>1.6296728999999999E-2</v>
      </c>
      <c r="C681">
        <v>-1.1501281E-2</v>
      </c>
      <c r="D681">
        <v>-8.0596369999999997E-3</v>
      </c>
      <c r="E681">
        <v>4.1199999999999999E-5</v>
      </c>
      <c r="F681">
        <v>-3.2229890000000008E-3</v>
      </c>
      <c r="G681">
        <v>276.99227261955099</v>
      </c>
    </row>
    <row r="682" spans="1:7" x14ac:dyDescent="0.3">
      <c r="A682">
        <v>1679.5</v>
      </c>
      <c r="B682">
        <v>1.5448856E-2</v>
      </c>
      <c r="C682">
        <v>-1.1262994E-2</v>
      </c>
      <c r="D682">
        <v>-7.9643630000000003E-3</v>
      </c>
      <c r="E682">
        <v>4.1199999999999999E-5</v>
      </c>
      <c r="F682">
        <v>-3.7373010000000002E-3</v>
      </c>
      <c r="G682">
        <v>276.96494797422201</v>
      </c>
    </row>
    <row r="683" spans="1:7" x14ac:dyDescent="0.3">
      <c r="A683">
        <v>1680.5</v>
      </c>
      <c r="B683">
        <v>1.4789415E-2</v>
      </c>
      <c r="C683">
        <v>-1.1130174E-2</v>
      </c>
      <c r="D683">
        <v>-7.872581E-3</v>
      </c>
      <c r="E683">
        <v>4.1199999999999999E-5</v>
      </c>
      <c r="F683">
        <v>-4.1721399999999995E-3</v>
      </c>
      <c r="G683">
        <v>276.94184773969999</v>
      </c>
    </row>
    <row r="684" spans="1:7" x14ac:dyDescent="0.3">
      <c r="A684">
        <v>1681.5</v>
      </c>
      <c r="B684">
        <v>1.4224654999999999E-2</v>
      </c>
      <c r="C684">
        <v>-1.1114539999999999E-2</v>
      </c>
      <c r="D684">
        <v>-7.7842969999999999E-3</v>
      </c>
      <c r="E684">
        <v>4.1199999999999999E-5</v>
      </c>
      <c r="F684">
        <v>-4.6329819999999999E-3</v>
      </c>
      <c r="G684">
        <v>276.91736821339998</v>
      </c>
    </row>
    <row r="685" spans="1:7" x14ac:dyDescent="0.3">
      <c r="A685">
        <v>1682.5</v>
      </c>
      <c r="B685">
        <v>1.3753665E-2</v>
      </c>
      <c r="C685">
        <v>-1.1227773E-2</v>
      </c>
      <c r="D685">
        <v>-7.6995140000000002E-3</v>
      </c>
      <c r="E685">
        <v>4.1199999999999999E-5</v>
      </c>
      <c r="F685">
        <v>-5.1324220000000002E-3</v>
      </c>
      <c r="G685">
        <v>276.89084084386002</v>
      </c>
    </row>
    <row r="686" spans="1:7" x14ac:dyDescent="0.3">
      <c r="A686">
        <v>1683.5</v>
      </c>
      <c r="B686">
        <v>1.3470301E-2</v>
      </c>
      <c r="C686">
        <v>-1.1477723E-2</v>
      </c>
      <c r="D686">
        <v>-7.6165060000000003E-3</v>
      </c>
      <c r="E686">
        <v>4.1199999999999999E-5</v>
      </c>
      <c r="F686">
        <v>-5.5827280000000003E-3</v>
      </c>
      <c r="G686">
        <v>276.86692529326803</v>
      </c>
    </row>
    <row r="687" spans="1:7" x14ac:dyDescent="0.3">
      <c r="A687">
        <v>1684.5</v>
      </c>
      <c r="B687">
        <v>1.3375527999999999E-2</v>
      </c>
      <c r="C687">
        <v>-1.1860608999999999E-2</v>
      </c>
      <c r="D687">
        <v>-7.5352689999999998E-3</v>
      </c>
      <c r="E687">
        <v>4.1199999999999999E-5</v>
      </c>
      <c r="F687">
        <v>-5.9791499999999999E-3</v>
      </c>
      <c r="G687">
        <v>276.84587319028299</v>
      </c>
    </row>
    <row r="688" spans="1:7" x14ac:dyDescent="0.3">
      <c r="A688">
        <v>1685.5</v>
      </c>
      <c r="B688">
        <v>1.3470293E-2</v>
      </c>
      <c r="C688">
        <v>-1.2364808999999999E-2</v>
      </c>
      <c r="D688">
        <v>-7.4557970000000001E-3</v>
      </c>
      <c r="E688">
        <v>4.1199999999999999E-5</v>
      </c>
      <c r="F688">
        <v>-6.3091129999999999E-3</v>
      </c>
      <c r="G688">
        <v>276.82835166853801</v>
      </c>
    </row>
    <row r="689" spans="1:7" x14ac:dyDescent="0.3">
      <c r="A689">
        <v>1686.5</v>
      </c>
      <c r="B689">
        <v>1.3753649E-2</v>
      </c>
      <c r="C689">
        <v>-1.2982729E-2</v>
      </c>
      <c r="D689">
        <v>-7.3782580000000004E-3</v>
      </c>
      <c r="E689">
        <v>4.1199999999999999E-5</v>
      </c>
      <c r="F689">
        <v>-6.5661380000000009E-3</v>
      </c>
      <c r="G689">
        <v>276.81470397527198</v>
      </c>
    </row>
    <row r="690" spans="1:7" x14ac:dyDescent="0.3">
      <c r="A690">
        <v>1687.5</v>
      </c>
      <c r="B690">
        <v>1.4130811E-2</v>
      </c>
      <c r="C690">
        <v>-1.3702829999999999E-2</v>
      </c>
      <c r="D690">
        <v>-7.3042020000000001E-3</v>
      </c>
      <c r="E690">
        <v>4.1199999999999999E-5</v>
      </c>
      <c r="F690">
        <v>-6.8350209999999993E-3</v>
      </c>
      <c r="G690">
        <v>276.80042738192799</v>
      </c>
    </row>
    <row r="691" spans="1:7" x14ac:dyDescent="0.3">
      <c r="A691">
        <v>1688.5</v>
      </c>
      <c r="B691">
        <v>1.4695570999999999E-2</v>
      </c>
      <c r="C691">
        <v>-1.4513570999999999E-2</v>
      </c>
      <c r="D691">
        <v>-7.2317229999999998E-3</v>
      </c>
      <c r="E691">
        <v>4.1199999999999999E-5</v>
      </c>
      <c r="F691">
        <v>-7.008523E-3</v>
      </c>
      <c r="G691">
        <v>276.79121544866399</v>
      </c>
    </row>
    <row r="692" spans="1:7" x14ac:dyDescent="0.3">
      <c r="A692">
        <v>1689.5</v>
      </c>
      <c r="B692">
        <v>1.544881E-2</v>
      </c>
      <c r="C692">
        <v>-1.5399500999999999E-2</v>
      </c>
      <c r="D692">
        <v>-7.1592629999999999E-3</v>
      </c>
      <c r="E692">
        <v>4.1199999999999999E-5</v>
      </c>
      <c r="F692">
        <v>-7.0687539999999991E-3</v>
      </c>
      <c r="G692">
        <v>276.78801756490401</v>
      </c>
    </row>
    <row r="693" spans="1:7" x14ac:dyDescent="0.3">
      <c r="A693">
        <v>1690.5</v>
      </c>
      <c r="B693">
        <v>1.6296670999999999E-2</v>
      </c>
      <c r="C693">
        <v>-1.6352980999999999E-2</v>
      </c>
      <c r="D693">
        <v>-7.0887169999999996E-3</v>
      </c>
      <c r="E693">
        <v>4.1199999999999999E-5</v>
      </c>
      <c r="F693">
        <v>-7.1038270000000001E-3</v>
      </c>
      <c r="G693">
        <v>276.78615537228097</v>
      </c>
    </row>
    <row r="694" spans="1:7" x14ac:dyDescent="0.3">
      <c r="A694">
        <v>1691.5</v>
      </c>
      <c r="B694">
        <v>1.7050635000000001E-2</v>
      </c>
      <c r="C694">
        <v>-1.7354553000000002E-2</v>
      </c>
      <c r="D694">
        <v>-7.019913E-3</v>
      </c>
      <c r="E694">
        <v>4.1199999999999999E-5</v>
      </c>
      <c r="F694">
        <v>-7.2826310000000003E-3</v>
      </c>
      <c r="G694">
        <v>276.776662406512</v>
      </c>
    </row>
    <row r="695" spans="1:7" x14ac:dyDescent="0.3">
      <c r="A695">
        <v>1692.5</v>
      </c>
      <c r="B695">
        <v>1.7427577E-2</v>
      </c>
      <c r="C695">
        <v>-1.8349254999999998E-2</v>
      </c>
      <c r="D695">
        <v>-6.9509430000000002E-3</v>
      </c>
      <c r="E695">
        <v>4.1199999999999999E-5</v>
      </c>
      <c r="F695">
        <v>-7.8314209999999999E-3</v>
      </c>
      <c r="G695">
        <v>276.74752874816301</v>
      </c>
    </row>
    <row r="696" spans="1:7" x14ac:dyDescent="0.3">
      <c r="A696">
        <v>1693.5</v>
      </c>
      <c r="B696">
        <v>1.7144396999999999E-2</v>
      </c>
      <c r="C696">
        <v>-1.9262321999999998E-2</v>
      </c>
      <c r="D696">
        <v>-6.8836840000000002E-3</v>
      </c>
      <c r="E696">
        <v>4.1199999999999999E-5</v>
      </c>
      <c r="F696">
        <v>-8.9604090000000008E-3</v>
      </c>
      <c r="G696">
        <v>276.68760356130502</v>
      </c>
    </row>
    <row r="697" spans="1:7" x14ac:dyDescent="0.3">
      <c r="A697">
        <v>1694.5</v>
      </c>
      <c r="B697">
        <v>1.5919633999999998E-2</v>
      </c>
      <c r="C697">
        <v>-2.0010735000000002E-2</v>
      </c>
      <c r="D697">
        <v>-6.8165650000000001E-3</v>
      </c>
      <c r="E697">
        <v>4.1199999999999999E-5</v>
      </c>
      <c r="F697">
        <v>-1.0866466000000003E-2</v>
      </c>
      <c r="G697">
        <v>276.58646223387302</v>
      </c>
    </row>
    <row r="698" spans="1:7" x14ac:dyDescent="0.3">
      <c r="A698">
        <v>1695.5</v>
      </c>
      <c r="B698">
        <v>1.3847442E-2</v>
      </c>
      <c r="C698">
        <v>-2.0530995E-2</v>
      </c>
      <c r="D698">
        <v>-6.7493889999999997E-3</v>
      </c>
      <c r="E698">
        <v>4.1199999999999999E-5</v>
      </c>
      <c r="F698">
        <v>-1.3391742E-2</v>
      </c>
      <c r="G698">
        <v>276.45252007132302</v>
      </c>
    </row>
    <row r="699" spans="1:7" x14ac:dyDescent="0.3">
      <c r="A699">
        <v>1696.5</v>
      </c>
      <c r="B699">
        <v>1.1019826E-2</v>
      </c>
      <c r="C699">
        <v>-2.0834581000000001E-2</v>
      </c>
      <c r="D699">
        <v>-6.6837110000000002E-3</v>
      </c>
      <c r="E699">
        <v>4.1199999999999999E-5</v>
      </c>
      <c r="F699">
        <v>-1.6457266000000005E-2</v>
      </c>
      <c r="G699">
        <v>276.290009995275</v>
      </c>
    </row>
    <row r="700" spans="1:7" x14ac:dyDescent="0.3">
      <c r="A700">
        <v>1697.5</v>
      </c>
      <c r="B700">
        <v>7.6235130000000002E-3</v>
      </c>
      <c r="C700">
        <v>-2.0988349999999999E-2</v>
      </c>
      <c r="D700">
        <v>-6.6164450000000003E-3</v>
      </c>
      <c r="E700">
        <v>4.1199999999999999E-5</v>
      </c>
      <c r="F700">
        <v>-1.9940082000000001E-2</v>
      </c>
      <c r="G700">
        <v>276.10549411342203</v>
      </c>
    </row>
    <row r="701" spans="1:7" x14ac:dyDescent="0.3">
      <c r="A701">
        <v>1698.5</v>
      </c>
      <c r="B701">
        <v>4.0371979999999997E-3</v>
      </c>
      <c r="C701">
        <v>-2.1067224999999998E-2</v>
      </c>
      <c r="D701">
        <v>-6.5491580000000002E-3</v>
      </c>
      <c r="E701">
        <v>4.1199999999999999E-5</v>
      </c>
      <c r="F701">
        <v>-2.3537985000000001E-2</v>
      </c>
      <c r="G701">
        <v>275.91501041837301</v>
      </c>
    </row>
    <row r="702" spans="1:7" x14ac:dyDescent="0.3">
      <c r="A702">
        <v>1699.5</v>
      </c>
      <c r="B702">
        <v>5.4359999999999999E-4</v>
      </c>
      <c r="C702">
        <v>-2.1157913E-2</v>
      </c>
      <c r="D702">
        <v>-6.4816989999999996E-3</v>
      </c>
      <c r="E702">
        <v>4.1199999999999999E-5</v>
      </c>
      <c r="F702">
        <v>-2.7054812000000004E-2</v>
      </c>
      <c r="G702">
        <v>275.72894604490699</v>
      </c>
    </row>
    <row r="703" spans="1:7" x14ac:dyDescent="0.3">
      <c r="A703">
        <v>1700.5</v>
      </c>
      <c r="B703">
        <v>-2.7640080000000001E-3</v>
      </c>
      <c r="C703">
        <v>-2.1335429E-2</v>
      </c>
      <c r="D703">
        <v>-6.4144359999999999E-3</v>
      </c>
      <c r="E703">
        <v>4.1199999999999999E-5</v>
      </c>
      <c r="F703">
        <v>-3.0472673000000002E-2</v>
      </c>
      <c r="G703">
        <v>275.548237824811</v>
      </c>
    </row>
    <row r="704" spans="1:7" x14ac:dyDescent="0.3">
      <c r="A704">
        <v>1701.5</v>
      </c>
      <c r="B704">
        <v>-5.5059419999999998E-3</v>
      </c>
      <c r="C704">
        <v>-2.1674819000000001E-2</v>
      </c>
      <c r="D704">
        <v>-6.3472069999999997E-3</v>
      </c>
      <c r="E704">
        <v>4.1199999999999999E-5</v>
      </c>
      <c r="F704">
        <v>-3.3486767999999993E-2</v>
      </c>
      <c r="G704">
        <v>275.38897549127699</v>
      </c>
    </row>
    <row r="705" spans="1:7" x14ac:dyDescent="0.3">
      <c r="A705">
        <v>1702.5</v>
      </c>
      <c r="B705">
        <v>-7.3968610000000002E-3</v>
      </c>
      <c r="C705">
        <v>-2.2255180999999999E-2</v>
      </c>
      <c r="D705">
        <v>-6.2781340000000003E-3</v>
      </c>
      <c r="E705">
        <v>4.1199999999999999E-5</v>
      </c>
      <c r="F705">
        <v>-3.5888975999999996E-2</v>
      </c>
      <c r="G705">
        <v>275.26211053384202</v>
      </c>
    </row>
    <row r="706" spans="1:7" x14ac:dyDescent="0.3">
      <c r="A706">
        <v>1703.5</v>
      </c>
      <c r="B706">
        <v>-8.3425770000000003E-3</v>
      </c>
      <c r="C706">
        <v>-2.3156070000000001E-2</v>
      </c>
      <c r="D706">
        <v>-6.20741E-3</v>
      </c>
      <c r="E706">
        <v>4.1199999999999999E-5</v>
      </c>
      <c r="F706">
        <v>-3.7664856999999996E-2</v>
      </c>
      <c r="G706">
        <v>275.16836053364801</v>
      </c>
    </row>
    <row r="707" spans="1:7" x14ac:dyDescent="0.3">
      <c r="A707">
        <v>1704.5</v>
      </c>
      <c r="B707">
        <v>-8.3425740000000002E-3</v>
      </c>
      <c r="C707">
        <v>-2.4445680000000001E-2</v>
      </c>
      <c r="D707">
        <v>-6.1352250000000002E-3</v>
      </c>
      <c r="E707">
        <v>4.1199999999999999E-5</v>
      </c>
      <c r="F707">
        <v>-3.8882278999999999E-2</v>
      </c>
      <c r="G707">
        <v>275.104110042115</v>
      </c>
    </row>
    <row r="708" spans="1:7" x14ac:dyDescent="0.3">
      <c r="A708">
        <v>1705.5</v>
      </c>
      <c r="B708">
        <v>-7.4910430000000002E-3</v>
      </c>
      <c r="C708">
        <v>-2.6089848999999998E-2</v>
      </c>
      <c r="D708">
        <v>-6.0631219999999998E-3</v>
      </c>
      <c r="E708">
        <v>4.1199999999999999E-5</v>
      </c>
      <c r="F708">
        <v>-3.9602813999999993E-2</v>
      </c>
      <c r="G708">
        <v>275.06609019723498</v>
      </c>
    </row>
    <row r="709" spans="1:7" x14ac:dyDescent="0.3">
      <c r="A709">
        <v>1706.5</v>
      </c>
      <c r="B709">
        <v>-5.9776589999999998E-3</v>
      </c>
      <c r="C709">
        <v>-2.7971195000000001E-2</v>
      </c>
      <c r="D709">
        <v>-5.9891670000000001E-3</v>
      </c>
      <c r="E709">
        <v>4.1199999999999999E-5</v>
      </c>
      <c r="F709">
        <v>-3.9896820999999999E-2</v>
      </c>
      <c r="G709">
        <v>275.05057765491199</v>
      </c>
    </row>
    <row r="710" spans="1:7" x14ac:dyDescent="0.3">
      <c r="A710">
        <v>1707.5</v>
      </c>
      <c r="B710">
        <v>-4.0863119999999999E-3</v>
      </c>
      <c r="C710">
        <v>-2.9951759000000001E-2</v>
      </c>
      <c r="D710">
        <v>-5.9117709999999997E-3</v>
      </c>
      <c r="E710">
        <v>4.1199999999999999E-5</v>
      </c>
      <c r="F710">
        <v>-3.9908641999999994E-2</v>
      </c>
      <c r="G710">
        <v>275.04995333861802</v>
      </c>
    </row>
    <row r="711" spans="1:7" x14ac:dyDescent="0.3">
      <c r="A711">
        <v>1708.5</v>
      </c>
      <c r="B711">
        <v>-2.0074720000000002E-3</v>
      </c>
      <c r="C711">
        <v>-3.1892484999999998E-2</v>
      </c>
      <c r="D711">
        <v>-5.8327939999999997E-3</v>
      </c>
      <c r="E711">
        <v>4.1199999999999999E-5</v>
      </c>
      <c r="F711">
        <v>-3.9691550999999999E-2</v>
      </c>
      <c r="G711">
        <v>275.06140650327899</v>
      </c>
    </row>
    <row r="712" spans="1:7" x14ac:dyDescent="0.3">
      <c r="A712">
        <v>1709.5</v>
      </c>
      <c r="B712" s="9">
        <v>-2.3499999999999999E-5</v>
      </c>
      <c r="C712">
        <v>-3.3657298000000002E-2</v>
      </c>
      <c r="D712">
        <v>-5.7537550000000002E-3</v>
      </c>
      <c r="E712">
        <v>4.1199999999999999E-5</v>
      </c>
      <c r="F712">
        <v>-3.9393352999999999E-2</v>
      </c>
      <c r="G712">
        <v>275.07713887211997</v>
      </c>
    </row>
    <row r="713" spans="1:7" x14ac:dyDescent="0.3">
      <c r="A713">
        <v>1710.5</v>
      </c>
      <c r="B713">
        <v>1.771676E-3</v>
      </c>
      <c r="C713">
        <v>-3.5097090999999997E-2</v>
      </c>
      <c r="D713">
        <v>-5.6709919999999997E-3</v>
      </c>
      <c r="E713">
        <v>4.1199999999999999E-5</v>
      </c>
      <c r="F713">
        <v>-3.8955206999999992E-2</v>
      </c>
      <c r="G713">
        <v>275.10025830859797</v>
      </c>
    </row>
    <row r="714" spans="1:7" x14ac:dyDescent="0.3">
      <c r="A714">
        <v>1711.5</v>
      </c>
      <c r="B714">
        <v>3.282428E-3</v>
      </c>
      <c r="C714">
        <v>-3.6090123000000002E-2</v>
      </c>
      <c r="D714">
        <v>-5.5846480000000002E-3</v>
      </c>
      <c r="E714">
        <v>4.1199999999999999E-5</v>
      </c>
      <c r="F714">
        <v>-3.8351142999999997E-2</v>
      </c>
      <c r="G714">
        <v>275.132135078011</v>
      </c>
    </row>
    <row r="715" spans="1:7" x14ac:dyDescent="0.3">
      <c r="A715">
        <v>1712.5</v>
      </c>
      <c r="B715">
        <v>4.5099099999999998E-3</v>
      </c>
      <c r="C715">
        <v>-3.6599016999999998E-2</v>
      </c>
      <c r="D715">
        <v>-5.4964430000000002E-3</v>
      </c>
      <c r="E715">
        <v>4.1199999999999999E-5</v>
      </c>
      <c r="F715">
        <v>-3.754434999999999E-2</v>
      </c>
      <c r="G715">
        <v>275.17471604092401</v>
      </c>
    </row>
    <row r="716" spans="1:7" x14ac:dyDescent="0.3">
      <c r="A716">
        <v>1713.5</v>
      </c>
      <c r="B716">
        <v>5.6422290000000003E-3</v>
      </c>
      <c r="C716">
        <v>-3.6659074E-2</v>
      </c>
      <c r="D716">
        <v>-5.404664E-3</v>
      </c>
      <c r="E716">
        <v>4.1199999999999999E-5</v>
      </c>
      <c r="F716">
        <v>-3.6380309E-2</v>
      </c>
      <c r="G716">
        <v>275.23616357634</v>
      </c>
    </row>
    <row r="717" spans="1:7" x14ac:dyDescent="0.3">
      <c r="A717">
        <v>1714.5</v>
      </c>
      <c r="B717">
        <v>6.8691990000000003E-3</v>
      </c>
      <c r="C717">
        <v>-3.6322294999999998E-2</v>
      </c>
      <c r="D717">
        <v>-5.309327E-3</v>
      </c>
      <c r="E717">
        <v>4.1199999999999999E-5</v>
      </c>
      <c r="F717">
        <v>-3.4721222999999996E-2</v>
      </c>
      <c r="G717">
        <v>275.32376778222601</v>
      </c>
    </row>
    <row r="718" spans="1:7" x14ac:dyDescent="0.3">
      <c r="A718">
        <v>1715.5</v>
      </c>
      <c r="B718">
        <v>8.2846759999999995E-3</v>
      </c>
      <c r="C718">
        <v>-3.5653165000000001E-2</v>
      </c>
      <c r="D718">
        <v>-5.2104539999999998E-3</v>
      </c>
      <c r="E718">
        <v>4.1199999999999999E-5</v>
      </c>
      <c r="F718">
        <v>-3.2537742999999994E-2</v>
      </c>
      <c r="G718">
        <v>275.43910404470103</v>
      </c>
    </row>
    <row r="719" spans="1:7" x14ac:dyDescent="0.3">
      <c r="A719">
        <v>1716.5</v>
      </c>
      <c r="B719">
        <v>9.9824059999999992E-3</v>
      </c>
      <c r="C719">
        <v>-3.4708392999999997E-2</v>
      </c>
      <c r="D719">
        <v>-5.1097900000000003E-3</v>
      </c>
      <c r="E719">
        <v>4.1199999999999999E-5</v>
      </c>
      <c r="F719">
        <v>-2.9794576999999999E-2</v>
      </c>
      <c r="G719">
        <v>275.58407300838797</v>
      </c>
    </row>
    <row r="720" spans="1:7" x14ac:dyDescent="0.3">
      <c r="A720">
        <v>1717.5</v>
      </c>
      <c r="B720">
        <v>1.2056927E-2</v>
      </c>
      <c r="C720">
        <v>-3.3540759000000003E-2</v>
      </c>
      <c r="D720">
        <v>-5.005626E-3</v>
      </c>
      <c r="E720">
        <v>4.1199999999999999E-5</v>
      </c>
      <c r="F720">
        <v>-2.6448258000000002E-2</v>
      </c>
      <c r="G720">
        <v>275.761020538521</v>
      </c>
    </row>
    <row r="721" spans="1:7" x14ac:dyDescent="0.3">
      <c r="A721">
        <v>1718.5</v>
      </c>
      <c r="B721">
        <v>1.4695447E-2</v>
      </c>
      <c r="C721">
        <v>-3.2210904999999998E-2</v>
      </c>
      <c r="D721">
        <v>-4.8962550000000004E-3</v>
      </c>
      <c r="E721">
        <v>4.1199999999999999E-5</v>
      </c>
      <c r="F721">
        <v>-2.2370513000000002E-2</v>
      </c>
      <c r="G721">
        <v>275.97679839156399</v>
      </c>
    </row>
    <row r="722" spans="1:7" x14ac:dyDescent="0.3">
      <c r="A722">
        <v>1719.5</v>
      </c>
      <c r="B722">
        <v>1.799187E-2</v>
      </c>
      <c r="C722">
        <v>-3.0775284E-2</v>
      </c>
      <c r="D722">
        <v>-4.7815219999999999E-3</v>
      </c>
      <c r="E722">
        <v>4.1199999999999999E-5</v>
      </c>
      <c r="F722">
        <v>-1.7523736000000002E-2</v>
      </c>
      <c r="G722">
        <v>276.23349020077097</v>
      </c>
    </row>
    <row r="723" spans="1:7" x14ac:dyDescent="0.3">
      <c r="A723">
        <v>1720.5</v>
      </c>
      <c r="B723">
        <v>2.1757669E-2</v>
      </c>
      <c r="C723">
        <v>-2.9282155000000001E-2</v>
      </c>
      <c r="D723">
        <v>-4.6633450000000002E-3</v>
      </c>
      <c r="E723">
        <v>4.1199999999999999E-5</v>
      </c>
      <c r="F723">
        <v>-1.2146631E-2</v>
      </c>
      <c r="G723">
        <v>276.51854856568701</v>
      </c>
    </row>
    <row r="724" spans="1:7" x14ac:dyDescent="0.3">
      <c r="A724">
        <v>1721.5</v>
      </c>
      <c r="B724">
        <v>2.5803723000000001E-2</v>
      </c>
      <c r="C724">
        <v>-2.7727796999999998E-2</v>
      </c>
      <c r="D724">
        <v>-4.5419029999999999E-3</v>
      </c>
      <c r="E724">
        <v>4.1199999999999999E-5</v>
      </c>
      <c r="F724">
        <v>-6.4247769999999978E-3</v>
      </c>
      <c r="G724">
        <v>276.82220657782898</v>
      </c>
    </row>
    <row r="725" spans="1:7" x14ac:dyDescent="0.3">
      <c r="A725">
        <v>1722.5</v>
      </c>
      <c r="B725">
        <v>2.9939514E-2</v>
      </c>
      <c r="C725">
        <v>-2.6060940000000001E-2</v>
      </c>
      <c r="D725">
        <v>-4.415296E-3</v>
      </c>
      <c r="E725">
        <v>4.1199999999999999E-5</v>
      </c>
      <c r="F725">
        <v>-4.9552200000000074E-4</v>
      </c>
      <c r="G725">
        <v>277.13722339504699</v>
      </c>
    </row>
    <row r="726" spans="1:7" x14ac:dyDescent="0.3">
      <c r="A726">
        <v>1723.5</v>
      </c>
      <c r="B726">
        <v>3.3790880000000002E-2</v>
      </c>
      <c r="C726">
        <v>-2.4222829000000001E-2</v>
      </c>
      <c r="D726">
        <v>-4.28335E-3</v>
      </c>
      <c r="E726">
        <v>4.1199999999999999E-5</v>
      </c>
      <c r="F726">
        <v>5.3259010000000009E-3</v>
      </c>
      <c r="G726">
        <v>277.44684736992298</v>
      </c>
    </row>
    <row r="727" spans="1:7" x14ac:dyDescent="0.3">
      <c r="A727">
        <v>1724.5</v>
      </c>
      <c r="B727">
        <v>3.7264961999999999E-2</v>
      </c>
      <c r="C727">
        <v>-2.2170975999999998E-2</v>
      </c>
      <c r="D727">
        <v>-4.146238E-3</v>
      </c>
      <c r="E727">
        <v>4.1199999999999999E-5</v>
      </c>
      <c r="F727">
        <v>1.0988948E-2</v>
      </c>
      <c r="G727">
        <v>277.74835332498702</v>
      </c>
    </row>
    <row r="728" spans="1:7" x14ac:dyDescent="0.3">
      <c r="A728">
        <v>1725.5</v>
      </c>
      <c r="B728">
        <v>4.0361518999999998E-2</v>
      </c>
      <c r="C728">
        <v>-1.9918570999999999E-2</v>
      </c>
      <c r="D728">
        <v>-4.0056900000000001E-3</v>
      </c>
      <c r="E728">
        <v>4.1199999999999999E-5</v>
      </c>
      <c r="F728">
        <v>1.6478457999999998E-2</v>
      </c>
      <c r="G728">
        <v>278.04090760792099</v>
      </c>
    </row>
    <row r="729" spans="1:7" x14ac:dyDescent="0.3">
      <c r="A729">
        <v>1726.5</v>
      </c>
      <c r="B729">
        <v>4.2893549000000003E-2</v>
      </c>
      <c r="C729">
        <v>-1.7533836000000001E-2</v>
      </c>
      <c r="D729">
        <v>-3.8617289999999999E-3</v>
      </c>
      <c r="E729">
        <v>4.1199999999999999E-5</v>
      </c>
      <c r="F729">
        <v>2.1539183999999999E-2</v>
      </c>
      <c r="G729">
        <v>278.31086177665202</v>
      </c>
    </row>
    <row r="730" spans="1:7" x14ac:dyDescent="0.3">
      <c r="A730">
        <v>1727.5</v>
      </c>
      <c r="B730">
        <v>4.4955117000000003E-2</v>
      </c>
      <c r="C730">
        <v>-1.5096131E-2</v>
      </c>
      <c r="D730">
        <v>-3.7126519999999999E-3</v>
      </c>
      <c r="E730">
        <v>4.1199999999999999E-5</v>
      </c>
      <c r="F730">
        <v>2.6187534000000002E-2</v>
      </c>
      <c r="G730">
        <v>278.55903107526001</v>
      </c>
    </row>
    <row r="731" spans="1:7" x14ac:dyDescent="0.3">
      <c r="A731">
        <v>1728.5</v>
      </c>
      <c r="B731">
        <v>4.6454384000000001E-2</v>
      </c>
      <c r="C731">
        <v>-1.2676275000000001E-2</v>
      </c>
      <c r="D731">
        <v>-3.5584779999999999E-3</v>
      </c>
      <c r="E731">
        <v>4.1199999999999999E-5</v>
      </c>
      <c r="F731">
        <v>3.0260830999999998E-2</v>
      </c>
      <c r="G731">
        <v>278.77666665353303</v>
      </c>
    </row>
    <row r="732" spans="1:7" x14ac:dyDescent="0.3">
      <c r="A732">
        <v>1729.5</v>
      </c>
      <c r="B732">
        <v>4.7391796999999999E-2</v>
      </c>
      <c r="C732">
        <v>-1.0344384999999999E-2</v>
      </c>
      <c r="D732">
        <v>-3.3992200000000001E-3</v>
      </c>
      <c r="E732">
        <v>4.1199999999999999E-5</v>
      </c>
      <c r="F732">
        <v>3.3689392000000006E-2</v>
      </c>
      <c r="G732">
        <v>278.95997548588701</v>
      </c>
    </row>
    <row r="733" spans="1:7" x14ac:dyDescent="0.3">
      <c r="A733">
        <v>1730.5</v>
      </c>
      <c r="B733">
        <v>4.7766701000000002E-2</v>
      </c>
      <c r="C733">
        <v>-8.1698499999999993E-3</v>
      </c>
      <c r="D733">
        <v>-3.236437E-3</v>
      </c>
      <c r="E733">
        <v>4.1199999999999999E-5</v>
      </c>
      <c r="F733">
        <v>3.6401614000000006E-2</v>
      </c>
      <c r="G733">
        <v>279.10506389557003</v>
      </c>
    </row>
    <row r="734" spans="1:7" x14ac:dyDescent="0.3">
      <c r="A734">
        <v>1731.5</v>
      </c>
      <c r="B734">
        <v>4.7485010000000001E-2</v>
      </c>
      <c r="C734">
        <v>-6.1943450000000004E-3</v>
      </c>
      <c r="D734">
        <v>-3.07048E-3</v>
      </c>
      <c r="E734">
        <v>4.1199999999999999E-5</v>
      </c>
      <c r="F734">
        <v>3.8261385000000009E-2</v>
      </c>
      <c r="G734">
        <v>279.20459161495501</v>
      </c>
    </row>
    <row r="735" spans="1:7" x14ac:dyDescent="0.3">
      <c r="A735">
        <v>1732.5</v>
      </c>
      <c r="B735">
        <v>4.6547558000000003E-2</v>
      </c>
      <c r="C735">
        <v>-4.4283500000000002E-3</v>
      </c>
      <c r="D735">
        <v>-2.8994530000000002E-3</v>
      </c>
      <c r="E735">
        <v>4.1199999999999999E-5</v>
      </c>
      <c r="F735">
        <v>3.9260955000000007E-2</v>
      </c>
      <c r="G735">
        <v>279.25809891637999</v>
      </c>
    </row>
    <row r="736" spans="1:7" x14ac:dyDescent="0.3">
      <c r="A736">
        <v>1733.5</v>
      </c>
      <c r="B736">
        <v>4.4954955999999997E-2</v>
      </c>
      <c r="C736">
        <v>-2.878472E-3</v>
      </c>
      <c r="D736">
        <v>-2.7248989999999998E-3</v>
      </c>
      <c r="E736">
        <v>4.1199999999999999E-5</v>
      </c>
      <c r="F736">
        <v>3.9392785E-2</v>
      </c>
      <c r="G736">
        <v>279.26515764628999</v>
      </c>
    </row>
    <row r="737" spans="1:7" x14ac:dyDescent="0.3">
      <c r="A737">
        <v>1734.5</v>
      </c>
      <c r="B737">
        <v>4.2611441E-2</v>
      </c>
      <c r="C737">
        <v>-1.555262E-3</v>
      </c>
      <c r="D737">
        <v>-2.5487069999999999E-3</v>
      </c>
      <c r="E737">
        <v>4.1199999999999999E-5</v>
      </c>
      <c r="F737">
        <v>3.8548672000000006E-2</v>
      </c>
      <c r="G737">
        <v>279.21997276606101</v>
      </c>
    </row>
    <row r="738" spans="1:7" x14ac:dyDescent="0.3">
      <c r="A738">
        <v>1735.5</v>
      </c>
      <c r="B738">
        <v>3.9610415000000003E-2</v>
      </c>
      <c r="C738">
        <v>-4.6168000000000001E-4</v>
      </c>
      <c r="D738">
        <v>-2.3691490000000001E-3</v>
      </c>
      <c r="E738">
        <v>4.1199999999999999E-5</v>
      </c>
      <c r="F738">
        <v>3.6820786000000008E-2</v>
      </c>
      <c r="G738">
        <v>279.12749947338</v>
      </c>
    </row>
    <row r="739" spans="1:7" x14ac:dyDescent="0.3">
      <c r="A739">
        <v>1736.5</v>
      </c>
      <c r="B739">
        <v>3.6138682999999998E-2</v>
      </c>
      <c r="C739">
        <v>4.0304199999999999E-4</v>
      </c>
      <c r="D739">
        <v>-2.184498E-3</v>
      </c>
      <c r="E739">
        <v>4.1199999999999999E-5</v>
      </c>
      <c r="F739">
        <v>3.4398427000000002E-2</v>
      </c>
      <c r="G739">
        <v>278.99790597585002</v>
      </c>
    </row>
    <row r="740" spans="1:7" x14ac:dyDescent="0.3">
      <c r="A740">
        <v>1737.5</v>
      </c>
      <c r="B740">
        <v>3.2194449999999999E-2</v>
      </c>
      <c r="C740">
        <v>1.0433809999999999E-3</v>
      </c>
      <c r="D740">
        <v>-1.9964660000000001E-3</v>
      </c>
      <c r="E740">
        <v>4.1199999999999999E-5</v>
      </c>
      <c r="F740">
        <v>3.1282565000000005E-2</v>
      </c>
      <c r="G740">
        <v>278.83129150471598</v>
      </c>
    </row>
    <row r="741" spans="1:7" x14ac:dyDescent="0.3">
      <c r="A741">
        <v>1738.5</v>
      </c>
      <c r="B741">
        <v>2.8059371999999999E-2</v>
      </c>
      <c r="C741">
        <v>1.4636110000000001E-3</v>
      </c>
      <c r="D741">
        <v>-1.805044E-3</v>
      </c>
      <c r="E741">
        <v>4.1199999999999999E-5</v>
      </c>
      <c r="F741">
        <v>2.7759138999999999E-2</v>
      </c>
      <c r="G741">
        <v>278.642993168602</v>
      </c>
    </row>
    <row r="742" spans="1:7" x14ac:dyDescent="0.3">
      <c r="A742">
        <v>1739.5</v>
      </c>
      <c r="B742">
        <v>2.3921285E-2</v>
      </c>
      <c r="C742">
        <v>1.667848E-3</v>
      </c>
      <c r="D742">
        <v>-1.6102219999999999E-3</v>
      </c>
      <c r="E742">
        <v>4.1199999999999999E-5</v>
      </c>
      <c r="F742">
        <v>2.4020110999999997E-2</v>
      </c>
      <c r="G742">
        <v>278.44330009724598</v>
      </c>
    </row>
    <row r="743" spans="1:7" x14ac:dyDescent="0.3">
      <c r="A743">
        <v>1740.5</v>
      </c>
      <c r="B743">
        <v>1.9874843999999999E-2</v>
      </c>
      <c r="C743">
        <v>1.667839E-3</v>
      </c>
      <c r="D743">
        <v>-1.411994E-3</v>
      </c>
      <c r="E743">
        <v>4.1199999999999999E-5</v>
      </c>
      <c r="F743">
        <v>2.0171888999999998E-2</v>
      </c>
      <c r="G743">
        <v>278.237912286989</v>
      </c>
    </row>
    <row r="744" spans="1:7" x14ac:dyDescent="0.3">
      <c r="A744">
        <v>1741.5</v>
      </c>
      <c r="B744">
        <v>1.6108758000000001E-2</v>
      </c>
      <c r="C744">
        <v>1.4635869999999999E-3</v>
      </c>
      <c r="D744">
        <v>-1.2120709999999999E-3</v>
      </c>
      <c r="E744">
        <v>4.1199999999999999E-5</v>
      </c>
      <c r="F744">
        <v>1.6401473999999999E-2</v>
      </c>
      <c r="G744">
        <v>278.03681194724697</v>
      </c>
    </row>
    <row r="745" spans="1:7" x14ac:dyDescent="0.3">
      <c r="A745">
        <v>1742.5</v>
      </c>
      <c r="B745">
        <v>1.2810329000000001E-2</v>
      </c>
      <c r="C745">
        <v>1.0626380000000001E-3</v>
      </c>
      <c r="D745">
        <v>-1.00873E-3</v>
      </c>
      <c r="E745">
        <v>4.1199999999999999E-5</v>
      </c>
      <c r="F745">
        <v>1.2905437000000001E-2</v>
      </c>
      <c r="G745">
        <v>277.85046506592101</v>
      </c>
    </row>
    <row r="746" spans="1:7" x14ac:dyDescent="0.3">
      <c r="A746">
        <v>1743.5</v>
      </c>
      <c r="B746">
        <v>1.0264839E-2</v>
      </c>
      <c r="C746">
        <v>4.8792300000000002E-4</v>
      </c>
      <c r="D746">
        <v>-8.0196200000000003E-4</v>
      </c>
      <c r="E746">
        <v>4.1199999999999999E-5</v>
      </c>
      <c r="F746">
        <v>9.9919999999999991E-3</v>
      </c>
      <c r="G746">
        <v>277.69525964636398</v>
      </c>
    </row>
    <row r="747" spans="1:7" x14ac:dyDescent="0.3">
      <c r="A747">
        <v>1744.5</v>
      </c>
      <c r="B747">
        <v>8.7559639999999998E-3</v>
      </c>
      <c r="C747">
        <v>-2.3767100000000001E-4</v>
      </c>
      <c r="D747">
        <v>-5.9348300000000001E-4</v>
      </c>
      <c r="E747">
        <v>4.1199999999999999E-5</v>
      </c>
      <c r="F747">
        <v>7.9660099999999991E-3</v>
      </c>
      <c r="G747">
        <v>277.58737754774199</v>
      </c>
    </row>
    <row r="748" spans="1:7" x14ac:dyDescent="0.3">
      <c r="A748">
        <v>1745.5</v>
      </c>
      <c r="B748">
        <v>8.6611120000000003E-3</v>
      </c>
      <c r="C748">
        <v>-1.0758619999999999E-3</v>
      </c>
      <c r="D748">
        <v>-3.8328800000000002E-4</v>
      </c>
      <c r="E748">
        <v>4.1199999999999999E-5</v>
      </c>
      <c r="F748">
        <v>7.243162E-3</v>
      </c>
      <c r="G748">
        <v>277.54889600849998</v>
      </c>
    </row>
    <row r="749" spans="1:7" x14ac:dyDescent="0.3">
      <c r="A749">
        <v>1746.5</v>
      </c>
      <c r="B749">
        <v>1.0076112E-2</v>
      </c>
      <c r="C749">
        <v>-1.9843999999999999E-3</v>
      </c>
      <c r="D749">
        <v>-1.6949000000000001E-4</v>
      </c>
      <c r="E749">
        <v>4.1199999999999999E-5</v>
      </c>
      <c r="F749">
        <v>7.9634220000000012E-3</v>
      </c>
      <c r="G749">
        <v>277.58724039626497</v>
      </c>
    </row>
    <row r="750" spans="1:7" x14ac:dyDescent="0.3">
      <c r="A750">
        <v>1747.5</v>
      </c>
      <c r="B750">
        <v>1.2716441E-2</v>
      </c>
      <c r="C750">
        <v>-2.9247180000000002E-3</v>
      </c>
      <c r="D750" s="9">
        <v>4.7700000000000001E-5</v>
      </c>
      <c r="E750">
        <v>4.1199999999999999E-5</v>
      </c>
      <c r="F750">
        <v>9.8806229999999998E-3</v>
      </c>
      <c r="G750">
        <v>277.68933158415598</v>
      </c>
    </row>
    <row r="751" spans="1:7" x14ac:dyDescent="0.3">
      <c r="A751">
        <v>1748.5</v>
      </c>
      <c r="B751">
        <v>1.6014886999999998E-2</v>
      </c>
      <c r="C751">
        <v>-3.8077860000000001E-3</v>
      </c>
      <c r="D751">
        <v>2.6478500000000002E-4</v>
      </c>
      <c r="E751">
        <v>4.1199999999999999E-5</v>
      </c>
      <c r="F751">
        <v>1.2513085999999998E-2</v>
      </c>
      <c r="G751">
        <v>277.829562094187</v>
      </c>
    </row>
    <row r="752" spans="1:7" x14ac:dyDescent="0.3">
      <c r="A752">
        <v>1749.5</v>
      </c>
      <c r="B752">
        <v>1.9122073E-2</v>
      </c>
      <c r="C752">
        <v>-4.5055149999999999E-3</v>
      </c>
      <c r="D752">
        <v>4.8542399999999998E-4</v>
      </c>
      <c r="E752">
        <v>4.1199999999999999E-5</v>
      </c>
      <c r="F752">
        <v>1.5143182E-2</v>
      </c>
      <c r="G752">
        <v>277.96973362953003</v>
      </c>
    </row>
    <row r="753" spans="1:7" x14ac:dyDescent="0.3">
      <c r="A753">
        <v>1750.5</v>
      </c>
      <c r="B753">
        <v>2.1568924999999999E-2</v>
      </c>
      <c r="C753">
        <v>-4.9011020000000001E-3</v>
      </c>
      <c r="D753">
        <v>7.0775600000000003E-4</v>
      </c>
      <c r="E753">
        <v>4.1199999999999999E-5</v>
      </c>
      <c r="F753">
        <v>1.7416778999999997E-2</v>
      </c>
      <c r="G753">
        <v>278.09095823107299</v>
      </c>
    </row>
    <row r="754" spans="1:7" x14ac:dyDescent="0.3">
      <c r="A754">
        <v>1751.5</v>
      </c>
      <c r="B754">
        <v>2.3168966999999999E-2</v>
      </c>
      <c r="C754">
        <v>-4.9863939999999999E-3</v>
      </c>
      <c r="D754">
        <v>9.2988399999999996E-4</v>
      </c>
      <c r="E754">
        <v>4.1199999999999999E-5</v>
      </c>
      <c r="F754">
        <v>1.9153656999999998E-2</v>
      </c>
      <c r="G754">
        <v>278.18359891973</v>
      </c>
    </row>
    <row r="755" spans="1:7" x14ac:dyDescent="0.3">
      <c r="A755">
        <v>1752.5</v>
      </c>
      <c r="B755">
        <v>2.3921980999999998E-2</v>
      </c>
      <c r="C755">
        <v>-4.8816049999999998E-3</v>
      </c>
      <c r="D755">
        <v>1.153697E-3</v>
      </c>
      <c r="E755">
        <v>4.1199999999999999E-5</v>
      </c>
      <c r="F755">
        <v>2.0235272999999995E-2</v>
      </c>
      <c r="G755">
        <v>278.24130428178103</v>
      </c>
    </row>
    <row r="756" spans="1:7" x14ac:dyDescent="0.3">
      <c r="A756">
        <v>1753.5</v>
      </c>
      <c r="B756">
        <v>2.4015616E-2</v>
      </c>
      <c r="C756">
        <v>-4.6643789999999997E-3</v>
      </c>
      <c r="D756">
        <v>1.377648E-3</v>
      </c>
      <c r="E756">
        <v>4.1199999999999999E-5</v>
      </c>
      <c r="F756">
        <v>2.0770084999999997E-2</v>
      </c>
      <c r="G756">
        <v>278.26984161061301</v>
      </c>
    </row>
    <row r="757" spans="1:7" x14ac:dyDescent="0.3">
      <c r="A757">
        <v>1754.5</v>
      </c>
      <c r="B757">
        <v>2.3544503000000001E-2</v>
      </c>
      <c r="C757">
        <v>-4.3425039999999996E-3</v>
      </c>
      <c r="D757">
        <v>1.599849E-3</v>
      </c>
      <c r="E757">
        <v>4.1199999999999999E-5</v>
      </c>
      <c r="F757">
        <v>2.0843047999999999E-2</v>
      </c>
      <c r="G757">
        <v>278.273735884838</v>
      </c>
    </row>
    <row r="758" spans="1:7" x14ac:dyDescent="0.3">
      <c r="A758">
        <v>1755.5</v>
      </c>
      <c r="B758">
        <v>2.2509439999999999E-2</v>
      </c>
      <c r="C758">
        <v>-3.9238670000000002E-3</v>
      </c>
      <c r="D758">
        <v>1.8201280000000001E-3</v>
      </c>
      <c r="E758">
        <v>4.1199999999999999E-5</v>
      </c>
      <c r="F758">
        <v>2.0446900999999996E-2</v>
      </c>
      <c r="G758">
        <v>278.25259861476002</v>
      </c>
    </row>
    <row r="759" spans="1:7" x14ac:dyDescent="0.3">
      <c r="A759">
        <v>1756.5</v>
      </c>
      <c r="B759">
        <v>2.1192162E-2</v>
      </c>
      <c r="C759">
        <v>-3.4318159999999999E-3</v>
      </c>
      <c r="D759">
        <v>2.0388260000000001E-3</v>
      </c>
      <c r="E759">
        <v>4.1199999999999999E-5</v>
      </c>
      <c r="F759">
        <v>1.9840371999999998E-2</v>
      </c>
      <c r="G759">
        <v>278.22023833585098</v>
      </c>
    </row>
    <row r="760" spans="1:7" x14ac:dyDescent="0.3">
      <c r="A760">
        <v>1757.5</v>
      </c>
      <c r="B760">
        <v>1.9874579999999999E-2</v>
      </c>
      <c r="C760">
        <v>-2.8935599999999999E-3</v>
      </c>
      <c r="D760">
        <v>2.2523410000000002E-3</v>
      </c>
      <c r="E760">
        <v>4.1199999999999999E-5</v>
      </c>
      <c r="F760">
        <v>1.9274560999999999E-2</v>
      </c>
      <c r="G760">
        <v>278.190053653549</v>
      </c>
    </row>
    <row r="761" spans="1:7" x14ac:dyDescent="0.3">
      <c r="A761">
        <v>1758.5</v>
      </c>
      <c r="B761">
        <v>1.8650436999999999E-2</v>
      </c>
      <c r="C761">
        <v>-2.3285229999999999E-3</v>
      </c>
      <c r="D761">
        <v>2.4622189999999999E-3</v>
      </c>
      <c r="E761">
        <v>4.1199999999999999E-5</v>
      </c>
      <c r="F761">
        <v>1.8825333E-2</v>
      </c>
      <c r="G761">
        <v>278.16609054150098</v>
      </c>
    </row>
    <row r="762" spans="1:7" x14ac:dyDescent="0.3">
      <c r="A762">
        <v>1759.5</v>
      </c>
      <c r="B762">
        <v>1.7709183999999999E-2</v>
      </c>
      <c r="C762">
        <v>-1.759935E-3</v>
      </c>
      <c r="D762">
        <v>2.66863E-3</v>
      </c>
      <c r="E762">
        <v>4.1199999999999999E-5</v>
      </c>
      <c r="F762">
        <v>1.8659078999999995E-2</v>
      </c>
      <c r="G762">
        <v>278.157223083649</v>
      </c>
    </row>
    <row r="763" spans="1:7" x14ac:dyDescent="0.3">
      <c r="A763">
        <v>1760.5</v>
      </c>
      <c r="B763">
        <v>1.7238493000000001E-2</v>
      </c>
      <c r="C763">
        <v>-1.2110090000000001E-3</v>
      </c>
      <c r="D763">
        <v>2.868149E-3</v>
      </c>
      <c r="E763">
        <v>4.1199999999999999E-5</v>
      </c>
      <c r="F763">
        <v>1.8936833E-2</v>
      </c>
      <c r="G763">
        <v>278.17203981174998</v>
      </c>
    </row>
    <row r="764" spans="1:7" x14ac:dyDescent="0.3">
      <c r="A764">
        <v>1761.5</v>
      </c>
      <c r="B764">
        <v>1.7238481E-2</v>
      </c>
      <c r="C764">
        <v>-6.9718700000000005E-4</v>
      </c>
      <c r="D764">
        <v>3.0607780000000001E-3</v>
      </c>
      <c r="E764">
        <v>4.1199999999999999E-5</v>
      </c>
      <c r="F764">
        <v>1.9643272E-2</v>
      </c>
      <c r="G764">
        <v>278.20972682287601</v>
      </c>
    </row>
    <row r="765" spans="1:7" x14ac:dyDescent="0.3">
      <c r="A765">
        <v>1762.5</v>
      </c>
      <c r="B765">
        <v>1.7615390000000002E-2</v>
      </c>
      <c r="C765">
        <v>-1.8363900000000001E-4</v>
      </c>
      <c r="D765">
        <v>3.2448020000000002E-3</v>
      </c>
      <c r="E765">
        <v>4.1199999999999999E-5</v>
      </c>
      <c r="F765">
        <v>2.0717753000000002E-2</v>
      </c>
      <c r="G765">
        <v>278.26705670411701</v>
      </c>
    </row>
    <row r="766" spans="1:7" x14ac:dyDescent="0.3">
      <c r="A766">
        <v>1763.5</v>
      </c>
      <c r="B766">
        <v>1.8462888E-2</v>
      </c>
      <c r="C766">
        <v>4.1840200000000001E-4</v>
      </c>
      <c r="D766">
        <v>3.4167770000000002E-3</v>
      </c>
      <c r="E766">
        <v>4.1199999999999999E-5</v>
      </c>
      <c r="F766">
        <v>2.2339266999999999E-2</v>
      </c>
      <c r="G766">
        <v>278.35359435467302</v>
      </c>
    </row>
    <row r="767" spans="1:7" x14ac:dyDescent="0.3">
      <c r="A767">
        <v>1764.5</v>
      </c>
      <c r="B767">
        <v>1.9875422E-2</v>
      </c>
      <c r="C767">
        <v>1.1858579999999999E-3</v>
      </c>
      <c r="D767">
        <v>3.5748020000000002E-3</v>
      </c>
      <c r="E767">
        <v>4.1199999999999999E-5</v>
      </c>
      <c r="F767">
        <v>2.4677282000000002E-2</v>
      </c>
      <c r="G767">
        <v>278.47841384509599</v>
      </c>
    </row>
    <row r="768" spans="1:7" x14ac:dyDescent="0.3">
      <c r="A768">
        <v>1765.5</v>
      </c>
      <c r="B768">
        <v>2.1757945000000001E-2</v>
      </c>
      <c r="C768">
        <v>2.133734E-3</v>
      </c>
      <c r="D768">
        <v>3.7207619999999999E-3</v>
      </c>
      <c r="E768">
        <v>4.1199999999999999E-5</v>
      </c>
      <c r="F768">
        <v>2.7653640999999996E-2</v>
      </c>
      <c r="G768">
        <v>278.63738679814901</v>
      </c>
    </row>
    <row r="769" spans="1:7" x14ac:dyDescent="0.3">
      <c r="A769">
        <v>1766.5</v>
      </c>
      <c r="B769">
        <v>2.3921747E-2</v>
      </c>
      <c r="C769">
        <v>3.2153419999999999E-3</v>
      </c>
      <c r="D769">
        <v>3.8546679999999999E-3</v>
      </c>
      <c r="E769">
        <v>4.1199999999999999E-5</v>
      </c>
      <c r="F769">
        <v>3.1032956999999996E-2</v>
      </c>
      <c r="G769">
        <v>278.81798358091299</v>
      </c>
    </row>
    <row r="770" spans="1:7" x14ac:dyDescent="0.3">
      <c r="A770">
        <v>1767.5</v>
      </c>
      <c r="B770">
        <v>2.6178341000000001E-2</v>
      </c>
      <c r="C770">
        <v>4.3802709999999998E-3</v>
      </c>
      <c r="D770">
        <v>3.9746520000000004E-3</v>
      </c>
      <c r="E770">
        <v>4.1199999999999999E-5</v>
      </c>
      <c r="F770">
        <v>3.4574464000000006E-2</v>
      </c>
      <c r="G770">
        <v>279.00736359836799</v>
      </c>
    </row>
    <row r="771" spans="1:7" x14ac:dyDescent="0.3">
      <c r="A771">
        <v>1768.5</v>
      </c>
      <c r="B771">
        <v>2.8434972999999999E-2</v>
      </c>
      <c r="C771">
        <v>5.5860249999999997E-3</v>
      </c>
      <c r="D771">
        <v>4.0809000000000002E-3</v>
      </c>
      <c r="E771">
        <v>4.1199999999999999E-5</v>
      </c>
      <c r="F771">
        <v>3.8143098E-2</v>
      </c>
      <c r="G771">
        <v>279.198313787995</v>
      </c>
    </row>
    <row r="772" spans="1:7" x14ac:dyDescent="0.3">
      <c r="A772">
        <v>1769.5</v>
      </c>
      <c r="B772">
        <v>3.0690709E-2</v>
      </c>
      <c r="C772">
        <v>6.7750199999999997E-3</v>
      </c>
      <c r="D772">
        <v>4.1751410000000003E-3</v>
      </c>
      <c r="E772">
        <v>4.1199999999999999E-5</v>
      </c>
      <c r="F772">
        <v>4.1682070000000009E-2</v>
      </c>
      <c r="G772">
        <v>279.38779540041401</v>
      </c>
    </row>
    <row r="773" spans="1:7" x14ac:dyDescent="0.3">
      <c r="A773">
        <v>1770.5</v>
      </c>
      <c r="B773">
        <v>3.2663155999999999E-2</v>
      </c>
      <c r="C773">
        <v>7.9013309999999993E-3</v>
      </c>
      <c r="D773">
        <v>4.2591089999999996E-3</v>
      </c>
      <c r="E773">
        <v>4.1199999999999999E-5</v>
      </c>
      <c r="F773">
        <v>4.4864795999999998E-2</v>
      </c>
      <c r="G773">
        <v>279.55830416762399</v>
      </c>
    </row>
    <row r="774" spans="1:7" x14ac:dyDescent="0.3">
      <c r="A774">
        <v>1771.5</v>
      </c>
      <c r="B774">
        <v>3.4072159999999997E-2</v>
      </c>
      <c r="C774">
        <v>8.9192379999999995E-3</v>
      </c>
      <c r="D774">
        <v>4.3311130000000002E-3</v>
      </c>
      <c r="E774">
        <v>4.1199999999999999E-5</v>
      </c>
      <c r="F774">
        <v>4.7363711000000003E-2</v>
      </c>
      <c r="G774">
        <v>279.69224595850397</v>
      </c>
    </row>
    <row r="775" spans="1:7" x14ac:dyDescent="0.3">
      <c r="A775">
        <v>1772.5</v>
      </c>
      <c r="B775">
        <v>3.4917205E-2</v>
      </c>
      <c r="C775">
        <v>9.7794140000000002E-3</v>
      </c>
      <c r="D775">
        <v>4.3909969999999998E-3</v>
      </c>
      <c r="E775">
        <v>4.1199999999999999E-5</v>
      </c>
      <c r="F775">
        <v>4.9128816000000006E-2</v>
      </c>
      <c r="G775">
        <v>279.78689127009898</v>
      </c>
    </row>
    <row r="776" spans="1:7" x14ac:dyDescent="0.3">
      <c r="A776">
        <v>1773.5</v>
      </c>
      <c r="B776">
        <v>3.5010670000000001E-2</v>
      </c>
      <c r="C776">
        <v>1.0432680999999999E-2</v>
      </c>
      <c r="D776">
        <v>4.4406660000000002E-3</v>
      </c>
      <c r="E776">
        <v>4.1199999999999999E-5</v>
      </c>
      <c r="F776">
        <v>4.9925217000000008E-2</v>
      </c>
      <c r="G776">
        <v>279.82960432861199</v>
      </c>
    </row>
    <row r="777" spans="1:7" x14ac:dyDescent="0.3">
      <c r="A777">
        <v>1774.5</v>
      </c>
      <c r="B777">
        <v>3.4259111000000002E-2</v>
      </c>
      <c r="C777">
        <v>1.0833601E-2</v>
      </c>
      <c r="D777">
        <v>4.4784239999999999E-3</v>
      </c>
      <c r="E777">
        <v>4.1199999999999999E-5</v>
      </c>
      <c r="F777">
        <v>4.9612336000000007E-2</v>
      </c>
      <c r="G777">
        <v>279.81282356950999</v>
      </c>
    </row>
    <row r="778" spans="1:7" x14ac:dyDescent="0.3">
      <c r="A778">
        <v>1775.5</v>
      </c>
      <c r="B778">
        <v>3.2756635999999999E-2</v>
      </c>
      <c r="C778">
        <v>1.0963356E-2</v>
      </c>
      <c r="D778">
        <v>4.5041059999999999E-3</v>
      </c>
      <c r="E778">
        <v>4.1199999999999999E-5</v>
      </c>
      <c r="F778">
        <v>4.8265298000000005E-2</v>
      </c>
      <c r="G778">
        <v>279.74058693000501</v>
      </c>
    </row>
    <row r="779" spans="1:7" x14ac:dyDescent="0.3">
      <c r="A779">
        <v>1776.5</v>
      </c>
      <c r="B779">
        <v>3.0408167E-2</v>
      </c>
      <c r="C779">
        <v>1.0856476E-2</v>
      </c>
      <c r="D779">
        <v>4.5195909999999999E-3</v>
      </c>
      <c r="E779">
        <v>4.1199999999999999E-5</v>
      </c>
      <c r="F779">
        <v>4.5825434000000012E-2</v>
      </c>
      <c r="G779">
        <v>279.609789420276</v>
      </c>
    </row>
    <row r="780" spans="1:7" x14ac:dyDescent="0.3">
      <c r="A780">
        <v>1777.5</v>
      </c>
      <c r="B780">
        <v>2.7400785E-2</v>
      </c>
      <c r="C780">
        <v>1.0581606E-2</v>
      </c>
      <c r="D780">
        <v>4.5248579999999997E-3</v>
      </c>
      <c r="E780">
        <v>4.1199999999999999E-5</v>
      </c>
      <c r="F780">
        <v>4.2548449000000009E-2</v>
      </c>
      <c r="G780">
        <v>279.43420330287802</v>
      </c>
    </row>
    <row r="781" spans="1:7" x14ac:dyDescent="0.3">
      <c r="A781">
        <v>1778.5</v>
      </c>
      <c r="B781">
        <v>2.3827098000000001E-2</v>
      </c>
      <c r="C781">
        <v>1.0195879999999999E-2</v>
      </c>
      <c r="D781">
        <v>4.5216029999999999E-3</v>
      </c>
      <c r="E781">
        <v>4.1199999999999999E-5</v>
      </c>
      <c r="F781">
        <v>3.8585781000000006E-2</v>
      </c>
      <c r="G781">
        <v>279.22201245360702</v>
      </c>
    </row>
    <row r="782" spans="1:7" x14ac:dyDescent="0.3">
      <c r="A782">
        <v>1779.5</v>
      </c>
      <c r="B782">
        <v>1.9686036000000001E-2</v>
      </c>
      <c r="C782">
        <v>9.7641450000000001E-3</v>
      </c>
      <c r="D782">
        <v>4.5080989999999998E-3</v>
      </c>
      <c r="E782">
        <v>4.1199999999999999E-5</v>
      </c>
      <c r="F782">
        <v>3.3999480000000006E-2</v>
      </c>
      <c r="G782">
        <v>278.97661232952902</v>
      </c>
    </row>
    <row r="783" spans="1:7" x14ac:dyDescent="0.3">
      <c r="A783">
        <v>1780.5</v>
      </c>
      <c r="B783">
        <v>1.5919919000000001E-2</v>
      </c>
      <c r="C783">
        <v>9.3475060000000002E-3</v>
      </c>
      <c r="D783">
        <v>4.4843080000000002E-3</v>
      </c>
      <c r="E783">
        <v>4.1199999999999999E-5</v>
      </c>
      <c r="F783">
        <v>2.9792933000000001E-2</v>
      </c>
      <c r="G783">
        <v>278.75170592637397</v>
      </c>
    </row>
    <row r="784" spans="1:7" x14ac:dyDescent="0.3">
      <c r="A784">
        <v>1781.5</v>
      </c>
      <c r="B784">
        <v>1.3846880000000001E-2</v>
      </c>
      <c r="C784">
        <v>8.9689499999999998E-3</v>
      </c>
      <c r="D784">
        <v>4.450023E-3</v>
      </c>
      <c r="E784">
        <v>4.1199999999999999E-5</v>
      </c>
      <c r="F784">
        <v>2.7307053000000001E-2</v>
      </c>
      <c r="G784">
        <v>278.61887459578998</v>
      </c>
    </row>
    <row r="785" spans="1:7" x14ac:dyDescent="0.3">
      <c r="A785">
        <v>1782.5</v>
      </c>
      <c r="B785">
        <v>1.3940701E-2</v>
      </c>
      <c r="C785">
        <v>8.6208350000000003E-3</v>
      </c>
      <c r="D785">
        <v>4.407121E-3</v>
      </c>
      <c r="E785">
        <v>4.1199999999999999E-5</v>
      </c>
      <c r="F785">
        <v>2.7009856999999998E-2</v>
      </c>
      <c r="G785">
        <v>278.60299785212402</v>
      </c>
    </row>
    <row r="786" spans="1:7" x14ac:dyDescent="0.3">
      <c r="A786">
        <v>1783.5</v>
      </c>
      <c r="B786">
        <v>1.5919927E-2</v>
      </c>
      <c r="C786">
        <v>8.2955830000000005E-3</v>
      </c>
      <c r="D786">
        <v>4.3556089999999999E-3</v>
      </c>
      <c r="E786">
        <v>4.1199999999999999E-5</v>
      </c>
      <c r="F786">
        <v>2.8612319000000001E-2</v>
      </c>
      <c r="G786">
        <v>278.68861273593598</v>
      </c>
    </row>
    <row r="787" spans="1:7" x14ac:dyDescent="0.3">
      <c r="A787">
        <v>1784.5</v>
      </c>
      <c r="B787">
        <v>1.9403937E-2</v>
      </c>
      <c r="C787">
        <v>8.0008679999999995E-3</v>
      </c>
      <c r="D787">
        <v>4.2937820000000003E-3</v>
      </c>
      <c r="E787">
        <v>4.1199999999999999E-5</v>
      </c>
      <c r="F787">
        <v>3.1739787000000005E-2</v>
      </c>
      <c r="G787">
        <v>278.85577403570602</v>
      </c>
    </row>
    <row r="788" spans="1:7" x14ac:dyDescent="0.3">
      <c r="A788">
        <v>1785.5</v>
      </c>
      <c r="B788">
        <v>2.4297253000000001E-2</v>
      </c>
      <c r="C788">
        <v>7.7519850000000003E-3</v>
      </c>
      <c r="D788">
        <v>4.2250630000000003E-3</v>
      </c>
      <c r="E788">
        <v>4.1199999999999999E-5</v>
      </c>
      <c r="F788">
        <v>3.6315501000000007E-2</v>
      </c>
      <c r="G788">
        <v>279.10050927266298</v>
      </c>
    </row>
    <row r="789" spans="1:7" x14ac:dyDescent="0.3">
      <c r="A789">
        <v>1786.5</v>
      </c>
      <c r="B789">
        <v>3.0314661E-2</v>
      </c>
      <c r="C789">
        <v>7.5643519999999999E-3</v>
      </c>
      <c r="D789">
        <v>4.1475729999999999E-3</v>
      </c>
      <c r="E789">
        <v>4.1199999999999999E-5</v>
      </c>
      <c r="F789">
        <v>4.206778600000001E-2</v>
      </c>
      <c r="G789">
        <v>279.40845406048601</v>
      </c>
    </row>
    <row r="790" spans="1:7" x14ac:dyDescent="0.3">
      <c r="A790">
        <v>1787.5</v>
      </c>
      <c r="B790">
        <v>3.7076048E-2</v>
      </c>
      <c r="C790">
        <v>7.449471E-3</v>
      </c>
      <c r="D790">
        <v>4.0614900000000001E-3</v>
      </c>
      <c r="E790">
        <v>4.1199999999999999E-5</v>
      </c>
      <c r="F790">
        <v>4.8628209000000006E-2</v>
      </c>
      <c r="G790">
        <v>279.76004268741099</v>
      </c>
    </row>
    <row r="791" spans="1:7" x14ac:dyDescent="0.3">
      <c r="A791">
        <v>1788.5</v>
      </c>
      <c r="B791">
        <v>4.4485443E-2</v>
      </c>
      <c r="C791">
        <v>7.4188300000000004E-3</v>
      </c>
      <c r="D791">
        <v>3.9668139999999999E-3</v>
      </c>
      <c r="E791">
        <v>4.1199999999999999E-5</v>
      </c>
      <c r="F791">
        <v>5.5912287000000005E-2</v>
      </c>
      <c r="G791">
        <v>280.150889472789</v>
      </c>
    </row>
    <row r="792" spans="1:7" x14ac:dyDescent="0.3">
      <c r="A792">
        <v>1789.5</v>
      </c>
      <c r="B792">
        <v>5.2259817E-2</v>
      </c>
      <c r="C792">
        <v>7.4839779999999996E-3</v>
      </c>
      <c r="D792">
        <v>3.8652640000000002E-3</v>
      </c>
      <c r="E792">
        <v>4.1199999999999999E-5</v>
      </c>
      <c r="F792">
        <v>6.3650258999999987E-2</v>
      </c>
      <c r="G792">
        <v>280.56663997447703</v>
      </c>
    </row>
    <row r="793" spans="1:7" x14ac:dyDescent="0.3">
      <c r="A793">
        <v>1790.5</v>
      </c>
      <c r="B793">
        <v>6.0117562999999999E-2</v>
      </c>
      <c r="C793">
        <v>7.660203E-3</v>
      </c>
      <c r="D793">
        <v>3.7568409999999999E-3</v>
      </c>
      <c r="E793">
        <v>4.1199999999999999E-5</v>
      </c>
      <c r="F793">
        <v>7.1575806999999991E-2</v>
      </c>
      <c r="G793">
        <v>280.99305569380903</v>
      </c>
    </row>
    <row r="794" spans="1:7" x14ac:dyDescent="0.3">
      <c r="A794">
        <v>1791.5</v>
      </c>
      <c r="B794">
        <v>6.7776745999999999E-2</v>
      </c>
      <c r="C794">
        <v>7.9627150000000004E-3</v>
      </c>
      <c r="D794">
        <v>3.6398400000000001E-3</v>
      </c>
      <c r="E794">
        <v>4.1199999999999999E-5</v>
      </c>
      <c r="F794">
        <v>7.9420500999999991E-2</v>
      </c>
      <c r="G794">
        <v>281.41570634052601</v>
      </c>
    </row>
    <row r="795" spans="1:7" x14ac:dyDescent="0.3">
      <c r="A795">
        <v>1792.5</v>
      </c>
      <c r="B795">
        <v>7.5052527999999993E-2</v>
      </c>
      <c r="C795">
        <v>8.4029259999999998E-3</v>
      </c>
      <c r="D795">
        <v>3.5158020000000002E-3</v>
      </c>
      <c r="E795">
        <v>4.1199999999999999E-5</v>
      </c>
      <c r="F795">
        <v>8.7012455999999988E-2</v>
      </c>
      <c r="G795">
        <v>281.82529524670599</v>
      </c>
    </row>
    <row r="796" spans="1:7" x14ac:dyDescent="0.3">
      <c r="A796">
        <v>1793.5</v>
      </c>
      <c r="B796">
        <v>8.1760962000000006E-2</v>
      </c>
      <c r="C796">
        <v>8.9882969999999993E-3</v>
      </c>
      <c r="D796">
        <v>3.3866170000000002E-3</v>
      </c>
      <c r="E796">
        <v>4.1199999999999999E-5</v>
      </c>
      <c r="F796">
        <v>9.4177075999999985E-2</v>
      </c>
      <c r="G796">
        <v>282.21233035864498</v>
      </c>
    </row>
    <row r="797" spans="1:7" x14ac:dyDescent="0.3">
      <c r="A797">
        <v>1794.5</v>
      </c>
      <c r="B797">
        <v>8.7624368999999994E-2</v>
      </c>
      <c r="C797">
        <v>9.7338500000000005E-3</v>
      </c>
      <c r="D797">
        <v>3.250574E-3</v>
      </c>
      <c r="E797">
        <v>4.1199999999999999E-5</v>
      </c>
      <c r="F797">
        <v>0.10064999299999999</v>
      </c>
      <c r="G797">
        <v>282.56241814434799</v>
      </c>
    </row>
    <row r="798" spans="1:7" x14ac:dyDescent="0.3">
      <c r="A798">
        <v>1795.5</v>
      </c>
      <c r="B798">
        <v>9.2924782999999997E-2</v>
      </c>
      <c r="C798">
        <v>1.0658358999999999E-2</v>
      </c>
      <c r="D798">
        <v>3.107669E-3</v>
      </c>
      <c r="E798">
        <v>4.1199999999999999E-5</v>
      </c>
      <c r="F798">
        <v>0.10673201099999997</v>
      </c>
      <c r="G798">
        <v>282.89172644427902</v>
      </c>
    </row>
    <row r="799" spans="1:7" x14ac:dyDescent="0.3">
      <c r="A799">
        <v>1796.5</v>
      </c>
      <c r="B799">
        <v>9.8684287999999995E-2</v>
      </c>
      <c r="C799">
        <v>1.1776531E-2</v>
      </c>
      <c r="D799">
        <v>2.9596010000000001E-3</v>
      </c>
      <c r="E799">
        <v>4.1199999999999999E-5</v>
      </c>
      <c r="F799">
        <v>0.11346161999999999</v>
      </c>
      <c r="G799">
        <v>283.25650845983102</v>
      </c>
    </row>
    <row r="800" spans="1:7" x14ac:dyDescent="0.3">
      <c r="A800">
        <v>1797.5</v>
      </c>
      <c r="B800">
        <v>0.105271716</v>
      </c>
      <c r="C800">
        <v>1.3106764999999999E-2</v>
      </c>
      <c r="D800">
        <v>2.8063670000000001E-3</v>
      </c>
      <c r="E800">
        <v>4.1199999999999999E-5</v>
      </c>
      <c r="F800">
        <v>0.121226048</v>
      </c>
      <c r="G800">
        <v>283.67791940299401</v>
      </c>
    </row>
    <row r="801" spans="1:7" x14ac:dyDescent="0.3">
      <c r="A801">
        <v>1798.5</v>
      </c>
      <c r="B801">
        <v>0.11194467700000001</v>
      </c>
      <c r="C801">
        <v>1.4606391E-2</v>
      </c>
      <c r="D801">
        <v>2.6479899999999998E-3</v>
      </c>
      <c r="E801">
        <v>4.1199999999999999E-5</v>
      </c>
      <c r="F801">
        <v>0.129240258</v>
      </c>
      <c r="G801">
        <v>284.11348958123102</v>
      </c>
    </row>
    <row r="802" spans="1:7" x14ac:dyDescent="0.3">
      <c r="A802">
        <v>1799.5</v>
      </c>
      <c r="B802">
        <v>0.117685005</v>
      </c>
      <c r="C802">
        <v>1.6149344E-2</v>
      </c>
      <c r="D802">
        <v>2.4843320000000001E-3</v>
      </c>
      <c r="E802">
        <v>4.1199999999999999E-5</v>
      </c>
      <c r="F802">
        <v>0.13635988099999999</v>
      </c>
      <c r="G802">
        <v>284.50095246611801</v>
      </c>
    </row>
    <row r="803" spans="1:7" x14ac:dyDescent="0.3">
      <c r="A803">
        <v>1800.5</v>
      </c>
      <c r="B803">
        <v>0.121755424</v>
      </c>
      <c r="C803">
        <v>1.7595110000000001E-2</v>
      </c>
      <c r="D803">
        <v>2.3174739999999999E-3</v>
      </c>
      <c r="E803">
        <v>4.1199999999999999E-5</v>
      </c>
      <c r="F803">
        <v>0.141709208</v>
      </c>
      <c r="G803">
        <v>284.79238978331898</v>
      </c>
    </row>
    <row r="804" spans="1:7" x14ac:dyDescent="0.3">
      <c r="A804">
        <v>1801.5</v>
      </c>
      <c r="B804">
        <v>0.124251524</v>
      </c>
      <c r="C804">
        <v>1.8860828E-2</v>
      </c>
      <c r="D804">
        <v>2.1455340000000002E-3</v>
      </c>
      <c r="E804">
        <v>4.1199999999999999E-5</v>
      </c>
      <c r="F804">
        <v>0.14529908599999999</v>
      </c>
      <c r="G804">
        <v>284.98812182246098</v>
      </c>
    </row>
    <row r="805" spans="1:7" x14ac:dyDescent="0.3">
      <c r="A805">
        <v>1802.5</v>
      </c>
      <c r="B805">
        <v>0.125452287</v>
      </c>
      <c r="C805">
        <v>1.9935855999999998E-2</v>
      </c>
      <c r="D805">
        <v>1.970042E-3</v>
      </c>
      <c r="E805">
        <v>4.1199999999999999E-5</v>
      </c>
      <c r="F805">
        <v>0.14739938499999999</v>
      </c>
      <c r="G805">
        <v>285.10269203699602</v>
      </c>
    </row>
    <row r="806" spans="1:7" x14ac:dyDescent="0.3">
      <c r="A806">
        <v>1803.5</v>
      </c>
      <c r="B806">
        <v>0.12563727899999999</v>
      </c>
      <c r="C806">
        <v>2.0828323999999999E-2</v>
      </c>
      <c r="D806">
        <v>1.7928709999999999E-3</v>
      </c>
      <c r="E806">
        <v>4.1199999999999999E-5</v>
      </c>
      <c r="F806">
        <v>0.14829967399999999</v>
      </c>
      <c r="G806">
        <v>285.15181211194499</v>
      </c>
    </row>
    <row r="807" spans="1:7" x14ac:dyDescent="0.3">
      <c r="A807">
        <v>1804.5</v>
      </c>
      <c r="B807">
        <v>0.125083531</v>
      </c>
      <c r="C807">
        <v>2.1550059E-2</v>
      </c>
      <c r="D807">
        <v>1.612296E-3</v>
      </c>
      <c r="E807">
        <v>4.1199999999999999E-5</v>
      </c>
      <c r="F807">
        <v>0.14828708600000001</v>
      </c>
      <c r="G807">
        <v>285.15111989694202</v>
      </c>
    </row>
    <row r="808" spans="1:7" x14ac:dyDescent="0.3">
      <c r="A808">
        <v>1805.5</v>
      </c>
      <c r="B808">
        <v>0.123974871</v>
      </c>
      <c r="C808">
        <v>2.2120306999999999E-2</v>
      </c>
      <c r="D808">
        <v>1.4283080000000001E-3</v>
      </c>
      <c r="E808">
        <v>4.1199999999999999E-5</v>
      </c>
      <c r="F808">
        <v>0.14756468599999997</v>
      </c>
      <c r="G808">
        <v>285.11169543534299</v>
      </c>
    </row>
    <row r="809" spans="1:7" x14ac:dyDescent="0.3">
      <c r="A809">
        <v>1806.5</v>
      </c>
      <c r="B809">
        <v>0.122680074</v>
      </c>
      <c r="C809">
        <v>2.2554406999999999E-2</v>
      </c>
      <c r="D809">
        <v>1.240896E-3</v>
      </c>
      <c r="E809">
        <v>4.1199999999999999E-5</v>
      </c>
      <c r="F809">
        <v>0.14651657699999998</v>
      </c>
      <c r="G809">
        <v>285.05450690993001</v>
      </c>
    </row>
    <row r="810" spans="1:7" x14ac:dyDescent="0.3">
      <c r="A810">
        <v>1807.5</v>
      </c>
      <c r="B810">
        <v>0.12147796399999999</v>
      </c>
      <c r="C810">
        <v>2.2863859E-2</v>
      </c>
      <c r="D810">
        <v>1.0517669999999999E-3</v>
      </c>
      <c r="E810">
        <v>4.1199999999999999E-5</v>
      </c>
      <c r="F810">
        <v>0.14543478999999998</v>
      </c>
      <c r="G810">
        <v>284.995491988396</v>
      </c>
    </row>
    <row r="811" spans="1:7" x14ac:dyDescent="0.3">
      <c r="A811">
        <v>1808.5</v>
      </c>
      <c r="B811">
        <v>0.12064575299999999</v>
      </c>
      <c r="C811">
        <v>2.3063887000000002E-2</v>
      </c>
      <c r="D811">
        <v>8.6091399999999995E-4</v>
      </c>
      <c r="E811">
        <v>4.1199999999999999E-5</v>
      </c>
      <c r="F811">
        <v>0.14461175399999998</v>
      </c>
      <c r="G811">
        <v>284.95059895202297</v>
      </c>
    </row>
    <row r="812" spans="1:7" x14ac:dyDescent="0.3">
      <c r="A812">
        <v>1809.5</v>
      </c>
      <c r="B812">
        <v>0.120460763</v>
      </c>
      <c r="C812">
        <v>2.3165841E-2</v>
      </c>
      <c r="D812">
        <v>6.6833400000000003E-4</v>
      </c>
      <c r="E812">
        <v>4.1199999999999999E-5</v>
      </c>
      <c r="F812">
        <v>0.14433613799999997</v>
      </c>
      <c r="G812">
        <v>284.935563099371</v>
      </c>
    </row>
    <row r="813" spans="1:7" x14ac:dyDescent="0.3">
      <c r="A813">
        <v>1810.5</v>
      </c>
      <c r="B813">
        <v>0.12110904</v>
      </c>
      <c r="C813">
        <v>2.3184784E-2</v>
      </c>
      <c r="D813">
        <v>4.7402399999999997E-4</v>
      </c>
      <c r="E813">
        <v>4.1199999999999999E-5</v>
      </c>
      <c r="F813">
        <v>0.144809048</v>
      </c>
      <c r="G813">
        <v>284.96134747046102</v>
      </c>
    </row>
    <row r="814" spans="1:7" x14ac:dyDescent="0.3">
      <c r="A814">
        <v>1811.5</v>
      </c>
      <c r="B814">
        <v>0.122403448</v>
      </c>
      <c r="C814">
        <v>2.3143402E-2</v>
      </c>
      <c r="D814">
        <v>2.7969699999999998E-4</v>
      </c>
      <c r="E814">
        <v>4.1199999999999999E-5</v>
      </c>
      <c r="F814">
        <v>0.14586774699999999</v>
      </c>
      <c r="G814">
        <v>285.019085257185</v>
      </c>
    </row>
    <row r="815" spans="1:7" x14ac:dyDescent="0.3">
      <c r="A815">
        <v>1812.5</v>
      </c>
      <c r="B815">
        <v>0.12351258900000001</v>
      </c>
      <c r="C815">
        <v>2.3102054E-2</v>
      </c>
      <c r="D815" s="9">
        <v>8.5400000000000002E-5</v>
      </c>
      <c r="E815">
        <v>4.1199999999999999E-5</v>
      </c>
      <c r="F815">
        <v>0.14674124300000002</v>
      </c>
      <c r="G815">
        <v>285.06672719961603</v>
      </c>
    </row>
    <row r="816" spans="1:7" x14ac:dyDescent="0.3">
      <c r="A816">
        <v>1813.5</v>
      </c>
      <c r="B816">
        <v>0.123327696</v>
      </c>
      <c r="C816">
        <v>2.3177613999999999E-2</v>
      </c>
      <c r="D816">
        <v>-1.10723E-4</v>
      </c>
      <c r="E816">
        <v>4.1199999999999999E-5</v>
      </c>
      <c r="F816">
        <v>0.14643578699999998</v>
      </c>
      <c r="G816">
        <v>285.05006031556201</v>
      </c>
    </row>
    <row r="817" spans="1:7" x14ac:dyDescent="0.3">
      <c r="A817">
        <v>1814.5</v>
      </c>
      <c r="B817">
        <v>0.121201451</v>
      </c>
      <c r="C817">
        <v>2.3501997E-2</v>
      </c>
      <c r="D817">
        <v>-3.06815E-4</v>
      </c>
      <c r="E817">
        <v>4.1199999999999999E-5</v>
      </c>
      <c r="F817">
        <v>0.14443783300000002</v>
      </c>
      <c r="G817">
        <v>284.94108082560899</v>
      </c>
    </row>
    <row r="818" spans="1:7" x14ac:dyDescent="0.3">
      <c r="A818">
        <v>1815.5</v>
      </c>
      <c r="B818">
        <v>0.11750111000000001</v>
      </c>
      <c r="C818">
        <v>2.4161604E-2</v>
      </c>
      <c r="D818">
        <v>-5.02919E-4</v>
      </c>
      <c r="E818">
        <v>4.1199999999999999E-5</v>
      </c>
      <c r="F818">
        <v>0.141200995</v>
      </c>
      <c r="G818">
        <v>284.764610708085</v>
      </c>
    </row>
    <row r="819" spans="1:7" x14ac:dyDescent="0.3">
      <c r="A819">
        <v>1816.5</v>
      </c>
      <c r="B819">
        <v>0.113335564</v>
      </c>
      <c r="C819">
        <v>2.5136954999999999E-2</v>
      </c>
      <c r="D819">
        <v>-6.9731000000000003E-4</v>
      </c>
      <c r="E819">
        <v>4.1199999999999999E-5</v>
      </c>
      <c r="F819">
        <v>0.13781640899999997</v>
      </c>
      <c r="G819">
        <v>284.580193135934</v>
      </c>
    </row>
    <row r="820" spans="1:7" x14ac:dyDescent="0.3">
      <c r="A820">
        <v>1817.5</v>
      </c>
      <c r="B820">
        <v>0.109723269</v>
      </c>
      <c r="C820">
        <v>2.6348199999999999E-2</v>
      </c>
      <c r="D820">
        <v>-8.8826499999999995E-4</v>
      </c>
      <c r="E820">
        <v>4.1199999999999999E-5</v>
      </c>
      <c r="F820">
        <v>0.13522440399999999</v>
      </c>
      <c r="G820">
        <v>284.43903437224702</v>
      </c>
    </row>
    <row r="821" spans="1:7" x14ac:dyDescent="0.3">
      <c r="A821">
        <v>1818.5</v>
      </c>
      <c r="B821">
        <v>0.107220912</v>
      </c>
      <c r="C821">
        <v>2.7711929E-2</v>
      </c>
      <c r="D821">
        <v>-1.075777E-3</v>
      </c>
      <c r="E821">
        <v>4.1199999999999999E-5</v>
      </c>
      <c r="F821">
        <v>0.13389826399999999</v>
      </c>
      <c r="G821">
        <v>284.36683622358299</v>
      </c>
    </row>
    <row r="822" spans="1:7" x14ac:dyDescent="0.3">
      <c r="A822">
        <v>1819.5</v>
      </c>
      <c r="B822">
        <v>0.10601550999999999</v>
      </c>
      <c r="C822">
        <v>2.9137552000000001E-2</v>
      </c>
      <c r="D822">
        <v>-1.2598419999999999E-3</v>
      </c>
      <c r="E822">
        <v>4.1199999999999999E-5</v>
      </c>
      <c r="F822">
        <v>0.13393441999999997</v>
      </c>
      <c r="G822">
        <v>284.36879944295998</v>
      </c>
    </row>
    <row r="823" spans="1:7" x14ac:dyDescent="0.3">
      <c r="A823">
        <v>1820.5</v>
      </c>
      <c r="B823">
        <v>0.10620112399999999</v>
      </c>
      <c r="C823">
        <v>3.0542442999999999E-2</v>
      </c>
      <c r="D823">
        <v>-1.4385750000000001E-3</v>
      </c>
      <c r="E823">
        <v>4.1199999999999999E-5</v>
      </c>
      <c r="F823">
        <v>0.13534619199999998</v>
      </c>
      <c r="G823">
        <v>284.44565041122399</v>
      </c>
    </row>
    <row r="824" spans="1:7" x14ac:dyDescent="0.3">
      <c r="A824">
        <v>1821.5</v>
      </c>
      <c r="B824">
        <v>0.107869903</v>
      </c>
      <c r="C824">
        <v>3.1881819999999998E-2</v>
      </c>
      <c r="D824">
        <v>-1.610432E-3</v>
      </c>
      <c r="E824">
        <v>4.1199999999999999E-5</v>
      </c>
      <c r="F824">
        <v>0.13818249099999999</v>
      </c>
      <c r="G824">
        <v>284.600109141708</v>
      </c>
    </row>
    <row r="825" spans="1:7" x14ac:dyDescent="0.3">
      <c r="A825">
        <v>1822.5</v>
      </c>
      <c r="B825">
        <v>0.111112777</v>
      </c>
      <c r="C825">
        <v>3.3163405999999999E-2</v>
      </c>
      <c r="D825">
        <v>-1.775581E-3</v>
      </c>
      <c r="E825">
        <v>4.1199999999999999E-5</v>
      </c>
      <c r="F825">
        <v>0.142541802</v>
      </c>
      <c r="G825">
        <v>284.837660090491</v>
      </c>
    </row>
    <row r="826" spans="1:7" x14ac:dyDescent="0.3">
      <c r="A826">
        <v>1823.5</v>
      </c>
      <c r="B826">
        <v>0.116021053</v>
      </c>
      <c r="C826">
        <v>3.4394908000000002E-2</v>
      </c>
      <c r="D826">
        <v>-1.933847E-3</v>
      </c>
      <c r="E826">
        <v>4.1199999999999999E-5</v>
      </c>
      <c r="F826">
        <v>0.14852331399999999</v>
      </c>
      <c r="G826">
        <v>285.16390672664801</v>
      </c>
    </row>
    <row r="827" spans="1:7" x14ac:dyDescent="0.3">
      <c r="A827">
        <v>1824.5</v>
      </c>
      <c r="B827">
        <v>0.122681555</v>
      </c>
      <c r="C827">
        <v>3.5569060999999999E-2</v>
      </c>
      <c r="D827">
        <v>-2.0833409999999998E-3</v>
      </c>
      <c r="E827">
        <v>4.1199999999999999E-5</v>
      </c>
      <c r="F827">
        <v>0.15620847500000001</v>
      </c>
      <c r="G827">
        <v>285.58357843149997</v>
      </c>
    </row>
    <row r="828" spans="1:7" x14ac:dyDescent="0.3">
      <c r="A828">
        <v>1825.5</v>
      </c>
      <c r="B828">
        <v>0.13090432099999999</v>
      </c>
      <c r="C828">
        <v>3.6682288E-2</v>
      </c>
      <c r="D828">
        <v>-2.2206359999999998E-3</v>
      </c>
      <c r="E828">
        <v>4.1199999999999999E-5</v>
      </c>
      <c r="F828">
        <v>0.16540717299999999</v>
      </c>
      <c r="G828">
        <v>286.08664651036702</v>
      </c>
    </row>
    <row r="829" spans="1:7" x14ac:dyDescent="0.3">
      <c r="A829">
        <v>1826.5</v>
      </c>
      <c r="B829">
        <v>0.13976040100000001</v>
      </c>
      <c r="C829">
        <v>3.7716237999999999E-2</v>
      </c>
      <c r="D829">
        <v>-2.3477989999999998E-3</v>
      </c>
      <c r="E829">
        <v>4.1199999999999999E-5</v>
      </c>
      <c r="F829">
        <v>0.17517003999999997</v>
      </c>
      <c r="G829">
        <v>286.62145663401498</v>
      </c>
    </row>
    <row r="830" spans="1:7" x14ac:dyDescent="0.3">
      <c r="A830">
        <v>1827.5</v>
      </c>
      <c r="B830">
        <v>0.14758927799999999</v>
      </c>
      <c r="C830">
        <v>3.8656308E-2</v>
      </c>
      <c r="D830">
        <v>-2.4646830000000001E-3</v>
      </c>
      <c r="E830">
        <v>4.1199999999999999E-5</v>
      </c>
      <c r="F830">
        <v>0.18382210299999999</v>
      </c>
      <c r="G830">
        <v>287.09618168755298</v>
      </c>
    </row>
    <row r="831" spans="1:7" x14ac:dyDescent="0.3">
      <c r="A831">
        <v>1828.5</v>
      </c>
      <c r="B831">
        <v>0.15347701699999999</v>
      </c>
      <c r="C831">
        <v>3.9506447E-2</v>
      </c>
      <c r="D831">
        <v>-2.5694189999999999E-3</v>
      </c>
      <c r="E831">
        <v>4.1199999999999999E-5</v>
      </c>
      <c r="F831">
        <v>0.190455245</v>
      </c>
      <c r="G831">
        <v>287.46061856060697</v>
      </c>
    </row>
    <row r="832" spans="1:7" x14ac:dyDescent="0.3">
      <c r="A832">
        <v>1829.5</v>
      </c>
      <c r="B832">
        <v>0.15752201499999999</v>
      </c>
      <c r="C832">
        <v>4.0270604000000002E-2</v>
      </c>
      <c r="D832">
        <v>-2.663894E-3</v>
      </c>
      <c r="E832">
        <v>4.1199999999999999E-5</v>
      </c>
      <c r="F832">
        <v>0.19516992499999999</v>
      </c>
      <c r="G832">
        <v>287.71990822092499</v>
      </c>
    </row>
    <row r="833" spans="1:7" x14ac:dyDescent="0.3">
      <c r="A833">
        <v>1830.5</v>
      </c>
      <c r="B833">
        <v>0.15981963099999999</v>
      </c>
      <c r="C833">
        <v>4.0948933999999999E-2</v>
      </c>
      <c r="D833">
        <v>-2.7463980000000002E-3</v>
      </c>
      <c r="E833">
        <v>4.1199999999999999E-5</v>
      </c>
      <c r="F833">
        <v>0.19806336699999996</v>
      </c>
      <c r="G833">
        <v>287.879141695052</v>
      </c>
    </row>
    <row r="834" spans="1:7" x14ac:dyDescent="0.3">
      <c r="A834">
        <v>1831.5</v>
      </c>
      <c r="B834">
        <v>0.16046249700000001</v>
      </c>
      <c r="C834">
        <v>4.1534244999999997E-2</v>
      </c>
      <c r="D834">
        <v>-2.816762E-3</v>
      </c>
      <c r="E834">
        <v>4.1199999999999999E-5</v>
      </c>
      <c r="F834">
        <v>0.19922118</v>
      </c>
      <c r="G834">
        <v>287.94288007547698</v>
      </c>
    </row>
    <row r="835" spans="1:7" x14ac:dyDescent="0.3">
      <c r="A835">
        <v>1832.5</v>
      </c>
      <c r="B835">
        <v>0.159635898</v>
      </c>
      <c r="C835">
        <v>4.2019299000000003E-2</v>
      </c>
      <c r="D835">
        <v>-2.8751599999999999E-3</v>
      </c>
      <c r="E835">
        <v>4.1199999999999999E-5</v>
      </c>
      <c r="F835">
        <v>0.19882123700000001</v>
      </c>
      <c r="G835">
        <v>287.92085821236901</v>
      </c>
    </row>
    <row r="836" spans="1:7" x14ac:dyDescent="0.3">
      <c r="A836">
        <v>1833.5</v>
      </c>
      <c r="B836">
        <v>0.15752307600000001</v>
      </c>
      <c r="C836">
        <v>4.2385697999999999E-2</v>
      </c>
      <c r="D836">
        <v>-2.9198789999999998E-3</v>
      </c>
      <c r="E836">
        <v>4.1199999999999999E-5</v>
      </c>
      <c r="F836">
        <v>0.19703009500000002</v>
      </c>
      <c r="G836">
        <v>287.82226090061602</v>
      </c>
    </row>
    <row r="837" spans="1:7" x14ac:dyDescent="0.3">
      <c r="A837">
        <v>1834.5</v>
      </c>
      <c r="B837">
        <v>0.154214137</v>
      </c>
      <c r="C837">
        <v>4.2548501000000002E-2</v>
      </c>
      <c r="D837">
        <v>-2.9507600000000002E-3</v>
      </c>
      <c r="E837">
        <v>4.1199999999999999E-5</v>
      </c>
      <c r="F837">
        <v>0.19385307799999998</v>
      </c>
      <c r="G837">
        <v>287.647452918765</v>
      </c>
    </row>
    <row r="838" spans="1:7" x14ac:dyDescent="0.3">
      <c r="A838">
        <v>1835.5</v>
      </c>
      <c r="B838">
        <v>0.15007524699999999</v>
      </c>
      <c r="C838">
        <v>4.2463408000000001E-2</v>
      </c>
      <c r="D838">
        <v>-2.9681489999999998E-3</v>
      </c>
      <c r="E838">
        <v>4.1199999999999999E-5</v>
      </c>
      <c r="F838">
        <v>0.18961170599999999</v>
      </c>
      <c r="G838">
        <v>287.41423389434698</v>
      </c>
    </row>
    <row r="839" spans="1:7" x14ac:dyDescent="0.3">
      <c r="A839">
        <v>1836.5</v>
      </c>
      <c r="B839">
        <v>0.145380554</v>
      </c>
      <c r="C839">
        <v>4.2200703999999999E-2</v>
      </c>
      <c r="D839">
        <v>-2.9699729999999999E-3</v>
      </c>
      <c r="E839">
        <v>4.1199999999999999E-5</v>
      </c>
      <c r="F839">
        <v>0.18465248500000001</v>
      </c>
      <c r="G839">
        <v>287.14176310820699</v>
      </c>
    </row>
    <row r="840" spans="1:7" x14ac:dyDescent="0.3">
      <c r="A840">
        <v>1837.5</v>
      </c>
      <c r="B840">
        <v>0.140497557</v>
      </c>
      <c r="C840">
        <v>4.1875013000000003E-2</v>
      </c>
      <c r="D840">
        <v>-2.954492E-3</v>
      </c>
      <c r="E840">
        <v>4.1199999999999999E-5</v>
      </c>
      <c r="F840">
        <v>0.179459278</v>
      </c>
      <c r="G840">
        <v>286.85669082624401</v>
      </c>
    </row>
    <row r="841" spans="1:7" x14ac:dyDescent="0.3">
      <c r="A841">
        <v>1838.5</v>
      </c>
      <c r="B841">
        <v>0.13597952799999999</v>
      </c>
      <c r="C841">
        <v>4.1649154000000001E-2</v>
      </c>
      <c r="D841">
        <v>-2.9237289999999999E-3</v>
      </c>
      <c r="E841">
        <v>4.1199999999999999E-5</v>
      </c>
      <c r="F841">
        <v>0.17474615299999999</v>
      </c>
      <c r="G841">
        <v>286.59819685092901</v>
      </c>
    </row>
    <row r="842" spans="1:7" x14ac:dyDescent="0.3">
      <c r="A842">
        <v>1839.5</v>
      </c>
      <c r="B842">
        <v>0.13210485699999999</v>
      </c>
      <c r="C842">
        <v>4.1737929E-2</v>
      </c>
      <c r="D842">
        <v>-2.8773029999999999E-3</v>
      </c>
      <c r="E842">
        <v>4.1199999999999999E-5</v>
      </c>
      <c r="F842">
        <v>0.17100668299999999</v>
      </c>
      <c r="G842">
        <v>286.39325601502401</v>
      </c>
    </row>
    <row r="843" spans="1:7" x14ac:dyDescent="0.3">
      <c r="A843">
        <v>1840.5</v>
      </c>
      <c r="B843">
        <v>0.128965883</v>
      </c>
      <c r="C843">
        <v>4.2278229000000001E-2</v>
      </c>
      <c r="D843">
        <v>-2.8134829999999999E-3</v>
      </c>
      <c r="E843">
        <v>4.1199999999999999E-5</v>
      </c>
      <c r="F843">
        <v>0.16847182899999999</v>
      </c>
      <c r="G843">
        <v>286.25441131059898</v>
      </c>
    </row>
    <row r="844" spans="1:7" x14ac:dyDescent="0.3">
      <c r="A844">
        <v>1841.5</v>
      </c>
      <c r="B844">
        <v>0.12674869999999999</v>
      </c>
      <c r="C844">
        <v>4.3217577E-2</v>
      </c>
      <c r="D844">
        <v>-2.7326239999999999E-3</v>
      </c>
      <c r="E844">
        <v>4.1199999999999999E-5</v>
      </c>
      <c r="F844">
        <v>0.167274853</v>
      </c>
      <c r="G844">
        <v>286.18887106557997</v>
      </c>
    </row>
    <row r="845" spans="1:7" x14ac:dyDescent="0.3">
      <c r="A845">
        <v>1842.5</v>
      </c>
      <c r="B845">
        <v>0.12610201700000001</v>
      </c>
      <c r="C845">
        <v>4.4396053999999997E-2</v>
      </c>
      <c r="D845">
        <v>-2.6344060000000002E-3</v>
      </c>
      <c r="E845">
        <v>4.1199999999999999E-5</v>
      </c>
      <c r="F845">
        <v>0.16790486499999999</v>
      </c>
      <c r="G845">
        <v>286.22337026525202</v>
      </c>
    </row>
    <row r="846" spans="1:7" x14ac:dyDescent="0.3">
      <c r="A846">
        <v>1843.5</v>
      </c>
      <c r="B846">
        <v>0.128041656</v>
      </c>
      <c r="C846">
        <v>4.5683761000000003E-2</v>
      </c>
      <c r="D846">
        <v>-2.517132E-3</v>
      </c>
      <c r="E846">
        <v>4.9360000000000002E-5</v>
      </c>
      <c r="F846">
        <v>0.17125764499999999</v>
      </c>
      <c r="G846">
        <v>286.40701836981299</v>
      </c>
    </row>
    <row r="847" spans="1:7" x14ac:dyDescent="0.3">
      <c r="A847">
        <v>1844.5</v>
      </c>
      <c r="B847">
        <v>0.13330367100000001</v>
      </c>
      <c r="C847">
        <v>4.6958747000000002E-2</v>
      </c>
      <c r="D847">
        <v>-2.3828809999999999E-3</v>
      </c>
      <c r="E847">
        <v>4.9659999999999995E-5</v>
      </c>
      <c r="F847">
        <v>0.17792919699999998</v>
      </c>
      <c r="G847">
        <v>286.77276926907501</v>
      </c>
    </row>
    <row r="848" spans="1:7" x14ac:dyDescent="0.3">
      <c r="A848">
        <v>1845.5</v>
      </c>
      <c r="B848">
        <v>0.141510997</v>
      </c>
      <c r="C848">
        <v>4.8011352E-2</v>
      </c>
      <c r="D848">
        <v>-2.2313519999999998E-3</v>
      </c>
      <c r="E848">
        <v>4.9960000000000003E-5</v>
      </c>
      <c r="F848">
        <v>0.187340957</v>
      </c>
      <c r="G848">
        <v>287.28947206259602</v>
      </c>
    </row>
    <row r="849" spans="1:7" x14ac:dyDescent="0.3">
      <c r="A849">
        <v>1846.5</v>
      </c>
      <c r="B849">
        <v>0.151270026</v>
      </c>
      <c r="C849">
        <v>4.8743018999999999E-2</v>
      </c>
      <c r="D849">
        <v>-2.0591540000000001E-3</v>
      </c>
      <c r="E849">
        <v>5.0259999999999997E-5</v>
      </c>
      <c r="F849">
        <v>0.19800415099999999</v>
      </c>
      <c r="G849">
        <v>287.875909072897</v>
      </c>
    </row>
    <row r="850" spans="1:7" x14ac:dyDescent="0.3">
      <c r="A850">
        <v>1847.5</v>
      </c>
      <c r="B850">
        <v>0.16073715599999999</v>
      </c>
      <c r="C850">
        <v>4.9264718999999998E-2</v>
      </c>
      <c r="D850">
        <v>-1.868183E-3</v>
      </c>
      <c r="E850">
        <v>5.0560000000000004E-5</v>
      </c>
      <c r="F850">
        <v>0.20818425200000001</v>
      </c>
      <c r="G850">
        <v>288.43680222116501</v>
      </c>
    </row>
    <row r="851" spans="1:7" x14ac:dyDescent="0.3">
      <c r="A851">
        <v>1848.5</v>
      </c>
      <c r="B851">
        <v>0.16872153300000001</v>
      </c>
      <c r="C851">
        <v>4.9756762000000003E-2</v>
      </c>
      <c r="D851">
        <v>-1.660148E-3</v>
      </c>
      <c r="E851">
        <v>5.0709999999999994E-5</v>
      </c>
      <c r="F851">
        <v>0.216868857</v>
      </c>
      <c r="G851">
        <v>288.91609174166803</v>
      </c>
    </row>
    <row r="852" spans="1:7" x14ac:dyDescent="0.3">
      <c r="A852">
        <v>1849.5</v>
      </c>
      <c r="B852">
        <v>0.17477061499999999</v>
      </c>
      <c r="C852">
        <v>5.0362306000000003E-2</v>
      </c>
      <c r="D852">
        <v>-1.434872E-3</v>
      </c>
      <c r="E852">
        <v>5.0869999999999999E-5</v>
      </c>
      <c r="F852">
        <v>0.22374891899999996</v>
      </c>
      <c r="G852">
        <v>289.29631157185401</v>
      </c>
    </row>
    <row r="853" spans="1:7" x14ac:dyDescent="0.3">
      <c r="A853">
        <v>1850.5</v>
      </c>
      <c r="B853">
        <v>0.178433918</v>
      </c>
      <c r="C853">
        <v>5.1110501000000003E-2</v>
      </c>
      <c r="D853">
        <v>-1.190822E-3</v>
      </c>
      <c r="E853">
        <v>5.1030000000000004E-5</v>
      </c>
      <c r="F853">
        <v>0.22840462699999997</v>
      </c>
      <c r="G853">
        <v>289.55386898357898</v>
      </c>
    </row>
    <row r="854" spans="1:7" x14ac:dyDescent="0.3">
      <c r="A854">
        <v>1851.5</v>
      </c>
      <c r="B854">
        <v>0.179715128</v>
      </c>
      <c r="C854">
        <v>5.1964407999999997E-2</v>
      </c>
      <c r="D854">
        <v>-9.2800700000000001E-4</v>
      </c>
      <c r="E854">
        <v>5.1179999999999994E-5</v>
      </c>
      <c r="F854">
        <v>0.23080270899999997</v>
      </c>
      <c r="G854">
        <v>289.68662161013799</v>
      </c>
    </row>
    <row r="855" spans="1:7" x14ac:dyDescent="0.3">
      <c r="A855">
        <v>1852.5</v>
      </c>
      <c r="B855">
        <v>0.179257473</v>
      </c>
      <c r="C855">
        <v>5.2817562999999998E-2</v>
      </c>
      <c r="D855">
        <v>-6.4797499999999996E-4</v>
      </c>
      <c r="E855">
        <v>5.13E-5</v>
      </c>
      <c r="F855">
        <v>0.23147836100000002</v>
      </c>
      <c r="G855">
        <v>289.72404584777502</v>
      </c>
    </row>
    <row r="856" spans="1:7" x14ac:dyDescent="0.3">
      <c r="A856">
        <v>1853.5</v>
      </c>
      <c r="B856">
        <v>0.17751818799999999</v>
      </c>
      <c r="C856">
        <v>5.3589495000000001E-2</v>
      </c>
      <c r="D856">
        <v>-3.50899E-4</v>
      </c>
      <c r="E856">
        <v>5.1499999999999998E-5</v>
      </c>
      <c r="F856">
        <v>0.230808284</v>
      </c>
      <c r="G856">
        <v>289.68695664406698</v>
      </c>
    </row>
    <row r="857" spans="1:7" x14ac:dyDescent="0.3">
      <c r="A857">
        <v>1854.5</v>
      </c>
      <c r="B857">
        <v>0.174586402</v>
      </c>
      <c r="C857">
        <v>5.4287663E-2</v>
      </c>
      <c r="D857" s="9">
        <v>-3.8300000000000003E-5</v>
      </c>
      <c r="E857">
        <v>5.1699999999999996E-5</v>
      </c>
      <c r="F857">
        <v>0.22888746500000001</v>
      </c>
      <c r="G857">
        <v>289.58064043158902</v>
      </c>
    </row>
    <row r="858" spans="1:7" x14ac:dyDescent="0.3">
      <c r="A858">
        <v>1855.5</v>
      </c>
      <c r="B858">
        <v>0.17128716399999999</v>
      </c>
      <c r="C858">
        <v>5.4919559E-2</v>
      </c>
      <c r="D858">
        <v>2.8959299999999999E-4</v>
      </c>
      <c r="E858">
        <v>5.1799999999999999E-5</v>
      </c>
      <c r="F858">
        <v>0.22654811599999999</v>
      </c>
      <c r="G858">
        <v>289.45121264579097</v>
      </c>
    </row>
    <row r="859" spans="1:7" x14ac:dyDescent="0.3">
      <c r="A859">
        <v>1856.5</v>
      </c>
      <c r="B859">
        <v>0.16881142699999999</v>
      </c>
      <c r="C859">
        <v>5.5613115999999997E-2</v>
      </c>
      <c r="D859">
        <v>6.3282699999999998E-4</v>
      </c>
      <c r="E859">
        <v>5.2000000000000004E-5</v>
      </c>
      <c r="F859">
        <v>0.22510936999999998</v>
      </c>
      <c r="G859">
        <v>289.37163965820298</v>
      </c>
    </row>
    <row r="860" spans="1:7" x14ac:dyDescent="0.3">
      <c r="A860">
        <v>1857.5</v>
      </c>
      <c r="B860">
        <v>0.16798579799999999</v>
      </c>
      <c r="C860">
        <v>5.6499502E-2</v>
      </c>
      <c r="D860">
        <v>9.88107E-4</v>
      </c>
      <c r="E860">
        <v>5.2099999999999999E-5</v>
      </c>
      <c r="F860">
        <v>0.22552550699999999</v>
      </c>
      <c r="G860">
        <v>289.39467600429998</v>
      </c>
    </row>
    <row r="861" spans="1:7" x14ac:dyDescent="0.3">
      <c r="A861">
        <v>1858.5</v>
      </c>
      <c r="B861">
        <v>0.168810986</v>
      </c>
      <c r="C861">
        <v>5.7563717E-2</v>
      </c>
      <c r="D861">
        <v>1.351646E-3</v>
      </c>
      <c r="E861">
        <v>5.2299999999999997E-5</v>
      </c>
      <c r="F861">
        <v>0.22777864900000003</v>
      </c>
      <c r="G861">
        <v>289.51934424154501</v>
      </c>
    </row>
    <row r="862" spans="1:7" x14ac:dyDescent="0.3">
      <c r="A862">
        <v>1859.5</v>
      </c>
      <c r="B862">
        <v>0.170277757</v>
      </c>
      <c r="C862">
        <v>5.8812475000000003E-2</v>
      </c>
      <c r="D862">
        <v>1.723598E-3</v>
      </c>
      <c r="E862">
        <v>5.24E-5</v>
      </c>
      <c r="F862">
        <v>0.23086622999999998</v>
      </c>
      <c r="G862">
        <v>289.690263492665</v>
      </c>
    </row>
    <row r="863" spans="1:7" x14ac:dyDescent="0.3">
      <c r="A863">
        <v>1860.5</v>
      </c>
      <c r="B863">
        <v>0.17183630699999999</v>
      </c>
      <c r="C863">
        <v>6.0306865000000001E-2</v>
      </c>
      <c r="D863">
        <v>2.1006940000000002E-3</v>
      </c>
      <c r="E863">
        <v>5.2599999999999998E-5</v>
      </c>
      <c r="F863">
        <v>0.23429646600000001</v>
      </c>
      <c r="G863">
        <v>289.880252377077</v>
      </c>
    </row>
    <row r="864" spans="1:7" x14ac:dyDescent="0.3">
      <c r="A864">
        <v>1861.5</v>
      </c>
      <c r="B864">
        <v>0.17376023199999999</v>
      </c>
      <c r="C864">
        <v>6.2125645E-2</v>
      </c>
      <c r="D864">
        <v>2.4793150000000002E-3</v>
      </c>
      <c r="E864">
        <v>5.2699999999999993E-5</v>
      </c>
      <c r="F864">
        <v>0.23841789199999999</v>
      </c>
      <c r="G864">
        <v>290.10867782265302</v>
      </c>
    </row>
    <row r="865" spans="1:7" x14ac:dyDescent="0.3">
      <c r="A865">
        <v>1862.5</v>
      </c>
      <c r="B865">
        <v>0.176416619</v>
      </c>
      <c r="C865">
        <v>6.4335843000000004E-2</v>
      </c>
      <c r="D865">
        <v>2.8577149999999998E-3</v>
      </c>
      <c r="E865">
        <v>5.2899999999999998E-5</v>
      </c>
      <c r="F865">
        <v>0.24366307700000001</v>
      </c>
      <c r="G865">
        <v>290.39961388978998</v>
      </c>
    </row>
    <row r="866" spans="1:7" x14ac:dyDescent="0.3">
      <c r="A866">
        <v>1863.5</v>
      </c>
      <c r="B866">
        <v>0.1799876</v>
      </c>
      <c r="C866">
        <v>6.6880778000000002E-2</v>
      </c>
      <c r="D866">
        <v>3.232459E-3</v>
      </c>
      <c r="E866">
        <v>5.3100000000000003E-5</v>
      </c>
      <c r="F866">
        <v>0.25015393700000005</v>
      </c>
      <c r="G866">
        <v>290.76001077464502</v>
      </c>
    </row>
    <row r="867" spans="1:7" x14ac:dyDescent="0.3">
      <c r="A867">
        <v>1864.5</v>
      </c>
      <c r="B867">
        <v>0.184287534</v>
      </c>
      <c r="C867">
        <v>6.9523865000000004E-2</v>
      </c>
      <c r="D867">
        <v>3.6018690000000002E-3</v>
      </c>
      <c r="E867">
        <v>5.3199999999999999E-5</v>
      </c>
      <c r="F867">
        <v>0.257466468</v>
      </c>
      <c r="G867">
        <v>291.16652426332797</v>
      </c>
    </row>
    <row r="868" spans="1:7" x14ac:dyDescent="0.3">
      <c r="A868">
        <v>1865.5</v>
      </c>
      <c r="B868">
        <v>0.18931477199999999</v>
      </c>
      <c r="C868">
        <v>7.2048751999999994E-2</v>
      </c>
      <c r="D868">
        <v>3.965985E-3</v>
      </c>
      <c r="E868">
        <v>5.3399999999999997E-5</v>
      </c>
      <c r="F868">
        <v>0.265382909</v>
      </c>
      <c r="G868">
        <v>291.60718931178599</v>
      </c>
    </row>
    <row r="869" spans="1:7" x14ac:dyDescent="0.3">
      <c r="A869">
        <v>1866.5</v>
      </c>
      <c r="B869">
        <v>0.195250963</v>
      </c>
      <c r="C869">
        <v>7.4366689999999999E-2</v>
      </c>
      <c r="D869">
        <v>4.324662E-3</v>
      </c>
      <c r="E869">
        <v>5.3499999999999999E-5</v>
      </c>
      <c r="F869">
        <v>0.27399581500000003</v>
      </c>
      <c r="G869">
        <v>292.08732052977001</v>
      </c>
    </row>
    <row r="870" spans="1:7" x14ac:dyDescent="0.3">
      <c r="A870">
        <v>1867.5</v>
      </c>
      <c r="B870">
        <v>0.2022748</v>
      </c>
      <c r="C870">
        <v>7.6421831999999995E-2</v>
      </c>
      <c r="D870">
        <v>4.6780930000000004E-3</v>
      </c>
      <c r="E870">
        <v>5.3700000000000004E-5</v>
      </c>
      <c r="F870">
        <v>0.28342842500000004</v>
      </c>
      <c r="G870">
        <v>292.61396911855098</v>
      </c>
    </row>
    <row r="871" spans="1:7" x14ac:dyDescent="0.3">
      <c r="A871">
        <v>1868.5</v>
      </c>
      <c r="B871">
        <v>0.20956285699999999</v>
      </c>
      <c r="C871">
        <v>7.8194295999999996E-2</v>
      </c>
      <c r="D871">
        <v>5.026488E-3</v>
      </c>
      <c r="E871">
        <v>5.3799999999999993E-5</v>
      </c>
      <c r="F871">
        <v>0.29283744099999998</v>
      </c>
      <c r="G871">
        <v>293.14017169632803</v>
      </c>
    </row>
    <row r="872" spans="1:7" x14ac:dyDescent="0.3">
      <c r="A872">
        <v>1869.5</v>
      </c>
      <c r="B872">
        <v>0.216024035</v>
      </c>
      <c r="C872">
        <v>7.9724760000000006E-2</v>
      </c>
      <c r="D872">
        <v>5.3695419999999997E-3</v>
      </c>
      <c r="E872">
        <v>5.3700000000000004E-5</v>
      </c>
      <c r="F872">
        <v>0.30117203700000006</v>
      </c>
      <c r="G872">
        <v>293.60700636436297</v>
      </c>
    </row>
    <row r="873" spans="1:7" x14ac:dyDescent="0.3">
      <c r="A873">
        <v>1870.5</v>
      </c>
      <c r="B873">
        <v>0.22193249600000001</v>
      </c>
      <c r="C873">
        <v>8.1024991000000005E-2</v>
      </c>
      <c r="D873">
        <v>5.7091390000000002E-3</v>
      </c>
      <c r="E873">
        <v>5.3499999999999999E-5</v>
      </c>
      <c r="F873">
        <v>0.30872012600000004</v>
      </c>
      <c r="G873">
        <v>294.03038184588002</v>
      </c>
    </row>
    <row r="874" spans="1:7" x14ac:dyDescent="0.3">
      <c r="A874">
        <v>1871.5</v>
      </c>
      <c r="B874">
        <v>0.22765321699999999</v>
      </c>
      <c r="C874">
        <v>8.2042503000000003E-2</v>
      </c>
      <c r="D874">
        <v>6.0470059999999997E-3</v>
      </c>
      <c r="E874">
        <v>5.3399999999999997E-5</v>
      </c>
      <c r="F874">
        <v>0.31579612600000007</v>
      </c>
      <c r="G874">
        <v>294.42778082144503</v>
      </c>
    </row>
    <row r="875" spans="1:7" x14ac:dyDescent="0.3">
      <c r="A875">
        <v>1872.5</v>
      </c>
      <c r="B875">
        <v>0.233186754</v>
      </c>
      <c r="C875">
        <v>8.2767417999999995E-2</v>
      </c>
      <c r="D875">
        <v>6.3848669999999998E-3</v>
      </c>
      <c r="E875">
        <v>5.3199999999999999E-5</v>
      </c>
      <c r="F875">
        <v>0.32239223900000002</v>
      </c>
      <c r="G875">
        <v>294.79867822968799</v>
      </c>
    </row>
    <row r="876" spans="1:7" x14ac:dyDescent="0.3">
      <c r="A876">
        <v>1873.5</v>
      </c>
      <c r="B876">
        <v>0.238262168</v>
      </c>
      <c r="C876">
        <v>8.3239477000000006E-2</v>
      </c>
      <c r="D876">
        <v>6.7227320000000004E-3</v>
      </c>
      <c r="E876">
        <v>5.3100000000000003E-5</v>
      </c>
      <c r="F876">
        <v>0.32827747700000004</v>
      </c>
      <c r="G876">
        <v>295.12996152245603</v>
      </c>
    </row>
    <row r="877" spans="1:7" x14ac:dyDescent="0.3">
      <c r="A877">
        <v>1874.5</v>
      </c>
      <c r="B877">
        <v>0.24206591699999999</v>
      </c>
      <c r="C877">
        <v>8.3505282E-2</v>
      </c>
      <c r="D877">
        <v>7.06063E-3</v>
      </c>
      <c r="E877">
        <v>5.3499999999999999E-5</v>
      </c>
      <c r="F877">
        <v>0.33268532900000003</v>
      </c>
      <c r="G877">
        <v>295.378314063277</v>
      </c>
    </row>
    <row r="878" spans="1:7" x14ac:dyDescent="0.3">
      <c r="A878">
        <v>1875.5</v>
      </c>
      <c r="B878">
        <v>0.24405724100000001</v>
      </c>
      <c r="C878">
        <v>8.36644E-2</v>
      </c>
      <c r="D878">
        <v>7.4021290000000003E-3</v>
      </c>
      <c r="E878">
        <v>5.3899999999999996E-5</v>
      </c>
      <c r="F878">
        <v>0.33517766999999998</v>
      </c>
      <c r="G878">
        <v>295.51883599028798</v>
      </c>
    </row>
    <row r="879" spans="1:7" x14ac:dyDescent="0.3">
      <c r="A879">
        <v>1876.5</v>
      </c>
      <c r="B879">
        <v>0.24450923299999999</v>
      </c>
      <c r="C879">
        <v>8.3958431E-2</v>
      </c>
      <c r="D879">
        <v>7.7467919999999997E-3</v>
      </c>
      <c r="E879">
        <v>5.4300000000000005E-5</v>
      </c>
      <c r="F879">
        <v>0.336268756</v>
      </c>
      <c r="G879">
        <v>295.58038634237198</v>
      </c>
    </row>
    <row r="880" spans="1:7" x14ac:dyDescent="0.3">
      <c r="A880">
        <v>1877.5</v>
      </c>
      <c r="B880">
        <v>0.24414672600000001</v>
      </c>
      <c r="C880">
        <v>8.4667742000000004E-2</v>
      </c>
      <c r="D880">
        <v>8.0963400000000005E-3</v>
      </c>
      <c r="E880">
        <v>5.4700000000000001E-5</v>
      </c>
      <c r="F880">
        <v>0.33696550800000002</v>
      </c>
      <c r="G880">
        <v>295.619706817684</v>
      </c>
    </row>
    <row r="881" spans="1:7" x14ac:dyDescent="0.3">
      <c r="A881">
        <v>1878.5</v>
      </c>
      <c r="B881">
        <v>0.24378509000000001</v>
      </c>
      <c r="C881">
        <v>8.5830450000000003E-2</v>
      </c>
      <c r="D881">
        <v>8.4542669999999997E-3</v>
      </c>
      <c r="E881">
        <v>5.5099999999999998E-5</v>
      </c>
      <c r="F881">
        <v>0.33812490700000009</v>
      </c>
      <c r="G881">
        <v>295.68513128970301</v>
      </c>
    </row>
    <row r="882" spans="1:7" x14ac:dyDescent="0.3">
      <c r="A882">
        <v>1879.5</v>
      </c>
      <c r="B882">
        <v>0.24405597900000001</v>
      </c>
      <c r="C882">
        <v>8.7303422000000006E-2</v>
      </c>
      <c r="D882">
        <v>8.8204129999999992E-3</v>
      </c>
      <c r="E882">
        <v>5.5499999999999994E-5</v>
      </c>
      <c r="F882">
        <v>0.34023531400000001</v>
      </c>
      <c r="G882">
        <v>295.80423457251902</v>
      </c>
    </row>
    <row r="883" spans="1:7" x14ac:dyDescent="0.3">
      <c r="A883">
        <v>1880.5</v>
      </c>
      <c r="B883">
        <v>0.24577454300000001</v>
      </c>
      <c r="C883">
        <v>8.8972210999999995E-2</v>
      </c>
      <c r="D883">
        <v>9.194598E-3</v>
      </c>
      <c r="E883">
        <v>5.5900000000000004E-5</v>
      </c>
      <c r="F883">
        <v>0.34399725199999998</v>
      </c>
      <c r="G883">
        <v>296.01663303586201</v>
      </c>
    </row>
    <row r="884" spans="1:7" x14ac:dyDescent="0.3">
      <c r="A884">
        <v>1881.5</v>
      </c>
      <c r="B884">
        <v>0.24903039399999999</v>
      </c>
      <c r="C884">
        <v>9.0747633999999994E-2</v>
      </c>
      <c r="D884">
        <v>9.5788750000000006E-3</v>
      </c>
      <c r="E884">
        <v>5.6400000000000002E-5</v>
      </c>
      <c r="F884">
        <v>0.34941330300000001</v>
      </c>
      <c r="G884">
        <v>296.32265093917698</v>
      </c>
    </row>
    <row r="885" spans="1:7" x14ac:dyDescent="0.3">
      <c r="A885">
        <v>1882.5</v>
      </c>
      <c r="B885">
        <v>0.253278487</v>
      </c>
      <c r="C885">
        <v>9.2537626999999997E-2</v>
      </c>
      <c r="D885">
        <v>9.9732959999999996E-3</v>
      </c>
      <c r="E885">
        <v>5.6799999999999998E-5</v>
      </c>
      <c r="F885">
        <v>0.35584621000000005</v>
      </c>
      <c r="G885">
        <v>296.68650163759003</v>
      </c>
    </row>
    <row r="886" spans="1:7" x14ac:dyDescent="0.3">
      <c r="A886">
        <v>1883.5</v>
      </c>
      <c r="B886">
        <v>0.25788475300000002</v>
      </c>
      <c r="C886">
        <v>9.4250649000000006E-2</v>
      </c>
      <c r="D886">
        <v>1.0377588E-2</v>
      </c>
      <c r="E886">
        <v>5.7199999999999994E-5</v>
      </c>
      <c r="F886">
        <v>0.36257019000000007</v>
      </c>
      <c r="G886">
        <v>297.06725203049399</v>
      </c>
    </row>
    <row r="887" spans="1:7" x14ac:dyDescent="0.3">
      <c r="A887">
        <v>1884.5</v>
      </c>
      <c r="B887">
        <v>0.26257709899999998</v>
      </c>
      <c r="C887">
        <v>9.5788718999999994E-2</v>
      </c>
      <c r="D887">
        <v>1.0795548E-2</v>
      </c>
      <c r="E887">
        <v>5.7600000000000004E-5</v>
      </c>
      <c r="F887">
        <v>0.36921896600000004</v>
      </c>
      <c r="G887">
        <v>297.44418499833</v>
      </c>
    </row>
    <row r="888" spans="1:7" x14ac:dyDescent="0.3">
      <c r="A888">
        <v>1885.5</v>
      </c>
      <c r="B888">
        <v>0.26825708300000001</v>
      </c>
      <c r="C888">
        <v>9.7036917E-2</v>
      </c>
      <c r="D888">
        <v>1.1225328999999999E-2</v>
      </c>
      <c r="E888">
        <v>5.8E-5</v>
      </c>
      <c r="F888">
        <v>0.37657732900000002</v>
      </c>
      <c r="G888">
        <v>297.86185344498602</v>
      </c>
    </row>
    <row r="889" spans="1:7" x14ac:dyDescent="0.3">
      <c r="A889">
        <v>1886.5</v>
      </c>
      <c r="B889">
        <v>0.27591194400000002</v>
      </c>
      <c r="C889">
        <v>9.8020812999999998E-2</v>
      </c>
      <c r="D889">
        <v>1.1666859999999999E-2</v>
      </c>
      <c r="E889">
        <v>5.8399999999999997E-5</v>
      </c>
      <c r="F889">
        <v>0.38565801700000002</v>
      </c>
      <c r="G889">
        <v>298.37801503739598</v>
      </c>
    </row>
    <row r="890" spans="1:7" x14ac:dyDescent="0.3">
      <c r="A890">
        <v>1887.5</v>
      </c>
      <c r="B890">
        <v>0.284904881</v>
      </c>
      <c r="C890">
        <v>9.8986221999999999E-2</v>
      </c>
      <c r="D890">
        <v>1.2120184000000001E-2</v>
      </c>
      <c r="E890">
        <v>5.8800000000000006E-5</v>
      </c>
      <c r="F890">
        <v>0.39607008700000002</v>
      </c>
      <c r="G890">
        <v>298.97085635408803</v>
      </c>
    </row>
    <row r="891" spans="1:7" x14ac:dyDescent="0.3">
      <c r="A891">
        <v>1888.5</v>
      </c>
      <c r="B891">
        <v>0.29370413699999998</v>
      </c>
      <c r="C891">
        <v>0.100219927</v>
      </c>
      <c r="D891">
        <v>1.2588405E-2</v>
      </c>
      <c r="E891">
        <v>5.8100000000000003E-5</v>
      </c>
      <c r="F891">
        <v>0.40657056899999999</v>
      </c>
      <c r="G891">
        <v>299.56981776801098</v>
      </c>
    </row>
    <row r="892" spans="1:7" x14ac:dyDescent="0.3">
      <c r="A892">
        <v>1889.5</v>
      </c>
      <c r="B892">
        <v>0.30168265700000002</v>
      </c>
      <c r="C892">
        <v>0.101797781</v>
      </c>
      <c r="D892">
        <v>1.3074863000000001E-2</v>
      </c>
      <c r="E892">
        <v>5.7299999999999997E-5</v>
      </c>
      <c r="F892">
        <v>0.41661260100000003</v>
      </c>
      <c r="G892">
        <v>300.14366294491703</v>
      </c>
    </row>
    <row r="893" spans="1:7" x14ac:dyDescent="0.3">
      <c r="A893">
        <v>1890.5</v>
      </c>
      <c r="B893">
        <v>0.30902380800000001</v>
      </c>
      <c r="C893">
        <v>0.103561396</v>
      </c>
      <c r="D893">
        <v>1.3577927E-2</v>
      </c>
      <c r="E893">
        <v>5.6500000000000005E-5</v>
      </c>
      <c r="F893">
        <v>0.42621963099999999</v>
      </c>
      <c r="G893">
        <v>300.693593362228</v>
      </c>
    </row>
    <row r="894" spans="1:7" x14ac:dyDescent="0.3">
      <c r="A894">
        <v>1891.5</v>
      </c>
      <c r="B894">
        <v>0.31546218500000001</v>
      </c>
      <c r="C894">
        <v>0.105339349</v>
      </c>
      <c r="D894">
        <v>1.4101271E-2</v>
      </c>
      <c r="E894">
        <v>5.5699999999999999E-5</v>
      </c>
      <c r="F894">
        <v>0.434958505</v>
      </c>
      <c r="G894">
        <v>301.194633869771</v>
      </c>
    </row>
    <row r="895" spans="1:7" x14ac:dyDescent="0.3">
      <c r="A895">
        <v>1892.5</v>
      </c>
      <c r="B895">
        <v>0.32010731999999997</v>
      </c>
      <c r="C895">
        <v>0.10700303899999999</v>
      </c>
      <c r="D895">
        <v>1.4648428E-2</v>
      </c>
      <c r="E895">
        <v>5.4999999999999995E-5</v>
      </c>
      <c r="F895">
        <v>0.44181378699999996</v>
      </c>
      <c r="G895">
        <v>301.58822032410501</v>
      </c>
    </row>
    <row r="896" spans="1:7" x14ac:dyDescent="0.3">
      <c r="A896">
        <v>1893.5</v>
      </c>
      <c r="B896">
        <v>0.32269607300000003</v>
      </c>
      <c r="C896">
        <v>0.10844198200000001</v>
      </c>
      <c r="D896">
        <v>1.5221027999999999E-2</v>
      </c>
      <c r="E896">
        <v>5.4200000000000003E-5</v>
      </c>
      <c r="F896">
        <v>0.44641328300000005</v>
      </c>
      <c r="G896">
        <v>301.85258113528198</v>
      </c>
    </row>
    <row r="897" spans="1:7" x14ac:dyDescent="0.3">
      <c r="A897">
        <v>1894.5</v>
      </c>
      <c r="B897">
        <v>0.32439167899999999</v>
      </c>
      <c r="C897">
        <v>0.109560083</v>
      </c>
      <c r="D897">
        <v>1.5819241000000001E-2</v>
      </c>
      <c r="E897">
        <v>5.3399999999999997E-5</v>
      </c>
      <c r="F897">
        <v>0.44982440299999998</v>
      </c>
      <c r="G897">
        <v>302.04879258699498</v>
      </c>
    </row>
    <row r="898" spans="1:7" x14ac:dyDescent="0.3">
      <c r="A898">
        <v>1895.5</v>
      </c>
      <c r="B898">
        <v>0.32653259699999998</v>
      </c>
      <c r="C898">
        <v>0.110337609</v>
      </c>
      <c r="D898">
        <v>1.6444508E-2</v>
      </c>
      <c r="E898">
        <v>5.2699999999999993E-5</v>
      </c>
      <c r="F898">
        <v>0.45336741400000002</v>
      </c>
      <c r="G898">
        <v>302.25270909940099</v>
      </c>
    </row>
    <row r="899" spans="1:7" x14ac:dyDescent="0.3">
      <c r="A899">
        <v>1896.5</v>
      </c>
      <c r="B899">
        <v>0.32965270200000002</v>
      </c>
      <c r="C899">
        <v>0.11096911199999999</v>
      </c>
      <c r="D899">
        <v>1.7101675E-2</v>
      </c>
      <c r="E899">
        <v>5.1900000000000001E-5</v>
      </c>
      <c r="F899">
        <v>0.45777538899999998</v>
      </c>
      <c r="G899">
        <v>302.50657976578702</v>
      </c>
    </row>
    <row r="900" spans="1:7" x14ac:dyDescent="0.3">
      <c r="A900">
        <v>1897.5</v>
      </c>
      <c r="B900">
        <v>0.33455394799999999</v>
      </c>
      <c r="C900">
        <v>0.111786803</v>
      </c>
      <c r="D900">
        <v>1.7794041999999999E-2</v>
      </c>
      <c r="E900">
        <v>5.1119999999999998E-5</v>
      </c>
      <c r="F900">
        <v>0.46418591300000001</v>
      </c>
      <c r="G900">
        <v>302.87610547190701</v>
      </c>
    </row>
    <row r="901" spans="1:7" x14ac:dyDescent="0.3">
      <c r="A901">
        <v>1898.5</v>
      </c>
      <c r="B901">
        <v>0.34105281500000001</v>
      </c>
      <c r="C901">
        <v>0.11307004700000001</v>
      </c>
      <c r="D901">
        <v>1.8522783000000001E-2</v>
      </c>
      <c r="E901">
        <v>5.0350000000000004E-5</v>
      </c>
      <c r="F901">
        <v>0.47269599500000004</v>
      </c>
      <c r="G901">
        <v>303.36727572975002</v>
      </c>
    </row>
    <row r="902" spans="1:7" x14ac:dyDescent="0.3">
      <c r="A902">
        <v>1899.5</v>
      </c>
      <c r="B902">
        <v>0.34798755199999998</v>
      </c>
      <c r="C902">
        <v>0.114837828</v>
      </c>
      <c r="D902">
        <v>1.9286009999999999E-2</v>
      </c>
      <c r="E902">
        <v>4.9579999999999996E-5</v>
      </c>
      <c r="F902">
        <v>0.48216096999999997</v>
      </c>
      <c r="G902">
        <v>303.91440917206899</v>
      </c>
    </row>
    <row r="903" spans="1:7" x14ac:dyDescent="0.3">
      <c r="A903">
        <v>1900.5</v>
      </c>
      <c r="B903">
        <v>0.35500309400000002</v>
      </c>
      <c r="C903">
        <v>0.116891538</v>
      </c>
      <c r="D903">
        <v>2.0082338000000002E-2</v>
      </c>
      <c r="E903">
        <v>4.9141999999999998E-5</v>
      </c>
      <c r="F903">
        <v>0.49202611200000002</v>
      </c>
      <c r="G903">
        <v>304.48563427616398</v>
      </c>
    </row>
    <row r="904" spans="1:7" x14ac:dyDescent="0.3">
      <c r="A904">
        <v>1901.5</v>
      </c>
      <c r="B904">
        <v>0.362453941</v>
      </c>
      <c r="C904">
        <v>0.11911619800000001</v>
      </c>
      <c r="D904">
        <v>2.0908393000000001E-2</v>
      </c>
      <c r="E904">
        <v>4.9134999999999996E-5</v>
      </c>
      <c r="F904">
        <v>0.50252766699999996</v>
      </c>
      <c r="G904">
        <v>305.09487040778498</v>
      </c>
    </row>
    <row r="905" spans="1:7" x14ac:dyDescent="0.3">
      <c r="A905">
        <v>1902.5</v>
      </c>
      <c r="B905">
        <v>0.370514658</v>
      </c>
      <c r="C905">
        <v>0.121558683</v>
      </c>
      <c r="D905">
        <v>2.1760485999999999E-2</v>
      </c>
      <c r="E905">
        <v>4.9327999999999999E-5</v>
      </c>
      <c r="F905">
        <v>0.51388315500000004</v>
      </c>
      <c r="G905">
        <v>305.754885664391</v>
      </c>
    </row>
    <row r="906" spans="1:7" x14ac:dyDescent="0.3">
      <c r="A906">
        <v>1903.5</v>
      </c>
      <c r="B906">
        <v>0.37874001099999999</v>
      </c>
      <c r="C906">
        <v>0.124306347</v>
      </c>
      <c r="D906">
        <v>2.2636791E-2</v>
      </c>
      <c r="E906">
        <v>5.1130999999999995E-5</v>
      </c>
      <c r="F906">
        <v>0.52573428</v>
      </c>
      <c r="G906">
        <v>306.445090345067</v>
      </c>
    </row>
    <row r="907" spans="1:7" x14ac:dyDescent="0.3">
      <c r="A907">
        <v>1904.5</v>
      </c>
      <c r="B907">
        <v>0.38660023399999999</v>
      </c>
      <c r="C907">
        <v>0.12737042600000001</v>
      </c>
      <c r="D907">
        <v>2.3534065999999999E-2</v>
      </c>
      <c r="E907">
        <v>5.274E-5</v>
      </c>
      <c r="F907">
        <v>0.53755746599999998</v>
      </c>
      <c r="G907">
        <v>307.13509403412502</v>
      </c>
    </row>
    <row r="908" spans="1:7" x14ac:dyDescent="0.3">
      <c r="A908">
        <v>1905.5</v>
      </c>
      <c r="B908">
        <v>0.39330419300000002</v>
      </c>
      <c r="C908">
        <v>0.13070401100000001</v>
      </c>
      <c r="D908">
        <v>2.4449023E-2</v>
      </c>
      <c r="E908">
        <v>5.4269999999999994E-5</v>
      </c>
      <c r="F908">
        <v>0.54851149700000001</v>
      </c>
      <c r="G908">
        <v>307.77565554648697</v>
      </c>
    </row>
    <row r="909" spans="1:7" x14ac:dyDescent="0.3">
      <c r="A909">
        <v>1906.5</v>
      </c>
      <c r="B909">
        <v>0.39832708999999999</v>
      </c>
      <c r="C909">
        <v>0.13431132700000001</v>
      </c>
      <c r="D909">
        <v>2.5378135E-2</v>
      </c>
      <c r="E909">
        <v>5.5789999999999999E-5</v>
      </c>
      <c r="F909">
        <v>0.55807234199999989</v>
      </c>
      <c r="G909">
        <v>308.33577084943801</v>
      </c>
    </row>
    <row r="910" spans="1:7" x14ac:dyDescent="0.3">
      <c r="A910">
        <v>1907.5</v>
      </c>
      <c r="B910">
        <v>0.402376291</v>
      </c>
      <c r="C910">
        <v>0.138219965</v>
      </c>
      <c r="D910">
        <v>2.6317862000000001E-2</v>
      </c>
      <c r="E910">
        <v>5.7299999999999997E-5</v>
      </c>
      <c r="F910">
        <v>0.56697141799999973</v>
      </c>
      <c r="G910">
        <v>308.85796957450202</v>
      </c>
    </row>
    <row r="911" spans="1:7" x14ac:dyDescent="0.3">
      <c r="A911">
        <v>1908.5</v>
      </c>
      <c r="B911">
        <v>0.40624656100000001</v>
      </c>
      <c r="C911">
        <v>0.14233590500000001</v>
      </c>
      <c r="D911">
        <v>2.7264821000000002E-2</v>
      </c>
      <c r="E911">
        <v>5.8659999999999997E-5</v>
      </c>
      <c r="F911">
        <v>0.57590594700000008</v>
      </c>
      <c r="G911">
        <v>309.38306809614301</v>
      </c>
    </row>
    <row r="912" spans="1:7" x14ac:dyDescent="0.3">
      <c r="A912">
        <v>1909.5</v>
      </c>
      <c r="B912">
        <v>0.41002754200000002</v>
      </c>
      <c r="C912">
        <v>0.14633552599999999</v>
      </c>
      <c r="D912">
        <v>2.8216092000000002E-2</v>
      </c>
      <c r="E912">
        <v>6.0019999999999998E-5</v>
      </c>
      <c r="F912">
        <v>0.58463918000000004</v>
      </c>
      <c r="G912">
        <v>309.897127443687</v>
      </c>
    </row>
    <row r="913" spans="1:7" x14ac:dyDescent="0.3">
      <c r="A913">
        <v>1910.5</v>
      </c>
      <c r="B913">
        <v>0.414508347</v>
      </c>
      <c r="C913">
        <v>0.149766503</v>
      </c>
      <c r="D913">
        <v>2.9167258000000001E-2</v>
      </c>
      <c r="E913">
        <v>7.2260000000000003E-5</v>
      </c>
      <c r="F913">
        <v>0.5935143679999999</v>
      </c>
      <c r="G913">
        <v>310.420343789198</v>
      </c>
    </row>
    <row r="914" spans="1:7" x14ac:dyDescent="0.3">
      <c r="A914">
        <v>1911.5</v>
      </c>
      <c r="B914">
        <v>0.42135429400000002</v>
      </c>
      <c r="C914">
        <v>0.15251783499999999</v>
      </c>
      <c r="D914">
        <v>3.0114976000000002E-2</v>
      </c>
      <c r="E914">
        <v>9.6860000000000004E-5</v>
      </c>
      <c r="F914">
        <v>0.60408396500000006</v>
      </c>
      <c r="G914">
        <v>311.044450096844</v>
      </c>
    </row>
    <row r="915" spans="1:7" x14ac:dyDescent="0.3">
      <c r="A915">
        <v>1912.5</v>
      </c>
      <c r="B915">
        <v>0.43082118699999999</v>
      </c>
      <c r="C915">
        <v>0.15488696699999999</v>
      </c>
      <c r="D915">
        <v>3.105544E-2</v>
      </c>
      <c r="E915">
        <v>1.2239E-4</v>
      </c>
      <c r="F915">
        <v>0.61688598400000016</v>
      </c>
      <c r="G915">
        <v>311.80187975105201</v>
      </c>
    </row>
    <row r="916" spans="1:7" x14ac:dyDescent="0.3">
      <c r="A916">
        <v>1913.5</v>
      </c>
      <c r="B916">
        <v>0.44167236100000001</v>
      </c>
      <c r="C916">
        <v>0.157194531</v>
      </c>
      <c r="D916">
        <v>3.1981638E-2</v>
      </c>
      <c r="E916">
        <v>1.4870000000000001E-4</v>
      </c>
      <c r="F916">
        <v>0.63099722999999985</v>
      </c>
      <c r="G916">
        <v>312.63868334003001</v>
      </c>
    </row>
    <row r="917" spans="1:7" x14ac:dyDescent="0.3">
      <c r="A917">
        <v>1914.5</v>
      </c>
      <c r="B917">
        <v>0.45320070200000001</v>
      </c>
      <c r="C917">
        <v>0.15968226599999999</v>
      </c>
      <c r="D917">
        <v>3.28916E-2</v>
      </c>
      <c r="E917">
        <v>1.7580200000000002E-4</v>
      </c>
      <c r="F917">
        <v>0.64595036999999988</v>
      </c>
      <c r="G917">
        <v>313.52763338751498</v>
      </c>
    </row>
    <row r="918" spans="1:7" x14ac:dyDescent="0.3">
      <c r="A918">
        <v>1915.5</v>
      </c>
      <c r="B918">
        <v>0.46522787399999999</v>
      </c>
      <c r="C918">
        <v>0.16254671700000001</v>
      </c>
      <c r="D918">
        <v>3.3783151999999997E-2</v>
      </c>
      <c r="E918">
        <v>2.0405299999999999E-4</v>
      </c>
      <c r="F918">
        <v>0.66176179599999996</v>
      </c>
      <c r="G918">
        <v>314.47009238268203</v>
      </c>
    </row>
    <row r="919" spans="1:7" x14ac:dyDescent="0.3">
      <c r="A919">
        <v>1916.5</v>
      </c>
      <c r="B919">
        <v>0.47705608300000002</v>
      </c>
      <c r="C919">
        <v>0.165929507</v>
      </c>
      <c r="D919">
        <v>3.4649443000000002E-2</v>
      </c>
      <c r="E919">
        <v>2.3374800000000001E-4</v>
      </c>
      <c r="F919">
        <v>0.67786878100000014</v>
      </c>
      <c r="G919">
        <v>315.43281762351398</v>
      </c>
    </row>
    <row r="920" spans="1:7" x14ac:dyDescent="0.3">
      <c r="A920">
        <v>1917.5</v>
      </c>
      <c r="B920">
        <v>0.488080393</v>
      </c>
      <c r="C920">
        <v>0.169874887</v>
      </c>
      <c r="D920">
        <v>3.5488972000000001E-2</v>
      </c>
      <c r="E920">
        <v>2.65603E-4</v>
      </c>
      <c r="F920">
        <v>0.69370985500000004</v>
      </c>
      <c r="G920">
        <v>316.38226582195</v>
      </c>
    </row>
    <row r="921" spans="1:7" x14ac:dyDescent="0.3">
      <c r="A921">
        <v>1918.5</v>
      </c>
      <c r="B921">
        <v>0.49769854699999999</v>
      </c>
      <c r="C921">
        <v>0.17423655699999999</v>
      </c>
      <c r="D921">
        <v>3.6300454000000003E-2</v>
      </c>
      <c r="E921">
        <v>3.1538200000000001E-4</v>
      </c>
      <c r="F921">
        <v>0.70855093999999996</v>
      </c>
      <c r="G921">
        <v>317.27415941293702</v>
      </c>
    </row>
    <row r="922" spans="1:7" x14ac:dyDescent="0.3">
      <c r="A922">
        <v>1919.5</v>
      </c>
      <c r="B922">
        <v>0.50548456200000003</v>
      </c>
      <c r="C922">
        <v>0.17873029400000001</v>
      </c>
      <c r="D922">
        <v>3.7081059999999999E-2</v>
      </c>
      <c r="E922">
        <v>3.8356800000000004E-4</v>
      </c>
      <c r="F922">
        <v>0.72167948400000015</v>
      </c>
      <c r="G922">
        <v>318.06506078639097</v>
      </c>
    </row>
    <row r="923" spans="1:7" x14ac:dyDescent="0.3">
      <c r="A923">
        <v>1920.5</v>
      </c>
      <c r="B923">
        <v>0.51205123299999999</v>
      </c>
      <c r="C923">
        <v>0.18317006699999999</v>
      </c>
      <c r="D923">
        <v>3.7831120000000003E-2</v>
      </c>
      <c r="E923">
        <v>4.8814099999999999E-4</v>
      </c>
      <c r="F923">
        <v>0.73354056100000009</v>
      </c>
      <c r="G923">
        <v>318.78118296750398</v>
      </c>
    </row>
    <row r="924" spans="1:7" x14ac:dyDescent="0.3">
      <c r="A924">
        <v>1921.5</v>
      </c>
      <c r="B924">
        <v>0.51774720600000002</v>
      </c>
      <c r="C924">
        <v>0.18755978700000001</v>
      </c>
      <c r="D924">
        <v>3.8549143000000001E-2</v>
      </c>
      <c r="E924">
        <v>5.6931899999999999E-4</v>
      </c>
      <c r="F924">
        <v>0.74442545500000012</v>
      </c>
      <c r="G924">
        <v>319.43967348744098</v>
      </c>
    </row>
    <row r="925" spans="1:7" x14ac:dyDescent="0.3">
      <c r="A925">
        <v>1922.5</v>
      </c>
      <c r="B925">
        <v>0.52188578799999996</v>
      </c>
      <c r="C925">
        <v>0.19181336800000001</v>
      </c>
      <c r="D925">
        <v>3.9237018999999998E-2</v>
      </c>
      <c r="E925">
        <v>6.5540800000000001E-4</v>
      </c>
      <c r="F925">
        <v>0.75359158299999995</v>
      </c>
      <c r="G925">
        <v>319.99519300472099</v>
      </c>
    </row>
    <row r="926" spans="1:7" x14ac:dyDescent="0.3">
      <c r="A926">
        <v>1923.5</v>
      </c>
      <c r="B926">
        <v>0.52403958799999995</v>
      </c>
      <c r="C926">
        <v>0.19562855000000001</v>
      </c>
      <c r="D926">
        <v>3.9895579E-2</v>
      </c>
      <c r="E926">
        <v>7.47362E-4</v>
      </c>
      <c r="F926">
        <v>0.76031107899999995</v>
      </c>
      <c r="G926">
        <v>320.403071030121</v>
      </c>
    </row>
    <row r="927" spans="1:7" x14ac:dyDescent="0.3">
      <c r="A927">
        <v>1924.5</v>
      </c>
      <c r="B927">
        <v>0.52507227499999998</v>
      </c>
      <c r="C927">
        <v>0.19876756800000001</v>
      </c>
      <c r="D927">
        <v>4.0525456000000001E-2</v>
      </c>
      <c r="E927">
        <v>8.461120000000001E-4</v>
      </c>
      <c r="F927">
        <v>0.76521141100000001</v>
      </c>
      <c r="G927">
        <v>320.70089994726101</v>
      </c>
    </row>
    <row r="928" spans="1:7" x14ac:dyDescent="0.3">
      <c r="A928">
        <v>1925.5</v>
      </c>
      <c r="B928">
        <v>0.52696682800000005</v>
      </c>
      <c r="C928">
        <v>0.201385653</v>
      </c>
      <c r="D928">
        <v>4.1130829000000001E-2</v>
      </c>
      <c r="E928">
        <v>9.523270000000001E-4</v>
      </c>
      <c r="F928">
        <v>0.77043563700000006</v>
      </c>
      <c r="G928">
        <v>321.01868166238302</v>
      </c>
    </row>
    <row r="929" spans="1:7" x14ac:dyDescent="0.3">
      <c r="A929">
        <v>1926.5</v>
      </c>
      <c r="B929">
        <v>0.53118552100000005</v>
      </c>
      <c r="C929">
        <v>0.203927795</v>
      </c>
      <c r="D929">
        <v>4.1710454000000001E-2</v>
      </c>
      <c r="E929">
        <v>1.067187E-3</v>
      </c>
      <c r="F929">
        <v>0.77789095700000011</v>
      </c>
      <c r="G929">
        <v>321.47254406546102</v>
      </c>
    </row>
    <row r="930" spans="1:7" x14ac:dyDescent="0.3">
      <c r="A930">
        <v>1927.5</v>
      </c>
      <c r="B930">
        <v>0.53669076500000001</v>
      </c>
      <c r="C930">
        <v>0.20674605200000001</v>
      </c>
      <c r="D930">
        <v>4.2262268999999998E-2</v>
      </c>
      <c r="E930">
        <v>1.191176E-3</v>
      </c>
      <c r="F930">
        <v>0.78689026200000001</v>
      </c>
      <c r="G930">
        <v>322.02112416382403</v>
      </c>
    </row>
    <row r="931" spans="1:7" x14ac:dyDescent="0.3">
      <c r="A931">
        <v>1928.5</v>
      </c>
      <c r="B931">
        <v>0.54159027299999996</v>
      </c>
      <c r="C931">
        <v>0.20987929399999999</v>
      </c>
      <c r="D931">
        <v>4.2791567000000003E-2</v>
      </c>
      <c r="E931">
        <v>1.3232859999999999E-3</v>
      </c>
      <c r="F931">
        <v>0.79558442000000007</v>
      </c>
      <c r="G931">
        <v>322.55191670351701</v>
      </c>
    </row>
    <row r="932" spans="1:7" x14ac:dyDescent="0.3">
      <c r="A932">
        <v>1929.5</v>
      </c>
      <c r="B932">
        <v>0.54528373699999999</v>
      </c>
      <c r="C932">
        <v>0.213158035</v>
      </c>
      <c r="D932">
        <v>4.3302037000000002E-2</v>
      </c>
      <c r="E932">
        <v>1.465994E-3</v>
      </c>
      <c r="F932">
        <v>0.80320980299999989</v>
      </c>
      <c r="G932">
        <v>323.01816013078201</v>
      </c>
    </row>
    <row r="933" spans="1:7" x14ac:dyDescent="0.3">
      <c r="A933">
        <v>1930.5</v>
      </c>
      <c r="B933">
        <v>0.54854509399999996</v>
      </c>
      <c r="C933">
        <v>0.21647430200000001</v>
      </c>
      <c r="D933">
        <v>4.3793950999999998E-2</v>
      </c>
      <c r="E933">
        <v>1.6208430000000001E-3</v>
      </c>
      <c r="F933">
        <v>0.81043419000000005</v>
      </c>
      <c r="G933">
        <v>323.46047837108398</v>
      </c>
    </row>
    <row r="934" spans="1:7" x14ac:dyDescent="0.3">
      <c r="A934">
        <v>1931.5</v>
      </c>
      <c r="B934">
        <v>0.55249032099999995</v>
      </c>
      <c r="C934">
        <v>0.21981832800000001</v>
      </c>
      <c r="D934">
        <v>4.4272076E-2</v>
      </c>
      <c r="E934">
        <v>1.7893929999999998E-3</v>
      </c>
      <c r="F934">
        <v>0.81837011800000004</v>
      </c>
      <c r="G934">
        <v>323.94696371905502</v>
      </c>
    </row>
    <row r="935" spans="1:7" x14ac:dyDescent="0.3">
      <c r="A935">
        <v>1932.5</v>
      </c>
      <c r="B935">
        <v>0.55737566199999999</v>
      </c>
      <c r="C935">
        <v>0.223211666</v>
      </c>
      <c r="D935">
        <v>4.4741107000000002E-2</v>
      </c>
      <c r="E935">
        <v>1.9704150000000001E-3</v>
      </c>
      <c r="F935">
        <v>0.82729885000000003</v>
      </c>
      <c r="G935">
        <v>324.49506872704097</v>
      </c>
    </row>
    <row r="936" spans="1:7" x14ac:dyDescent="0.3">
      <c r="A936">
        <v>1933.5</v>
      </c>
      <c r="B936">
        <v>0.56319872599999998</v>
      </c>
      <c r="C936">
        <v>0.226691173</v>
      </c>
      <c r="D936">
        <v>4.5202776E-2</v>
      </c>
      <c r="E936">
        <v>2.1629819999999999E-3</v>
      </c>
      <c r="F936">
        <v>0.83725565700000004</v>
      </c>
      <c r="G936">
        <v>325.10725139809199</v>
      </c>
    </row>
    <row r="937" spans="1:7" x14ac:dyDescent="0.3">
      <c r="A937">
        <v>1934.5</v>
      </c>
      <c r="B937">
        <v>0.57029888200000001</v>
      </c>
      <c r="C937">
        <v>0.23027773000000001</v>
      </c>
      <c r="D937">
        <v>4.5658599000000001E-2</v>
      </c>
      <c r="E937">
        <v>2.3681820000000004E-3</v>
      </c>
      <c r="F937">
        <v>0.84860339300000009</v>
      </c>
      <c r="G937">
        <v>325.80617992012998</v>
      </c>
    </row>
    <row r="938" spans="1:7" x14ac:dyDescent="0.3">
      <c r="A938">
        <v>1935.5</v>
      </c>
      <c r="B938">
        <v>0.57884226500000002</v>
      </c>
      <c r="C938">
        <v>0.233868307</v>
      </c>
      <c r="D938">
        <v>4.6112091000000001E-2</v>
      </c>
      <c r="E938">
        <v>2.5869970000000002E-3</v>
      </c>
      <c r="F938">
        <v>0.86140966000000008</v>
      </c>
      <c r="G938">
        <v>326.59654896384598</v>
      </c>
    </row>
    <row r="939" spans="1:7" x14ac:dyDescent="0.3">
      <c r="A939">
        <v>1936.5</v>
      </c>
      <c r="B939">
        <v>0.58830994199999997</v>
      </c>
      <c r="C939">
        <v>0.237265648</v>
      </c>
      <c r="D939">
        <v>4.6568828999999999E-2</v>
      </c>
      <c r="E939">
        <v>2.8212510000000003E-3</v>
      </c>
      <c r="F939">
        <v>0.87496567000000003</v>
      </c>
      <c r="G939">
        <v>327.43505599622398</v>
      </c>
    </row>
    <row r="940" spans="1:7" x14ac:dyDescent="0.3">
      <c r="A940">
        <v>1937.5</v>
      </c>
      <c r="B940">
        <v>0.59793240299999995</v>
      </c>
      <c r="C940">
        <v>0.240274766</v>
      </c>
      <c r="D940">
        <v>4.7034457000000002E-2</v>
      </c>
      <c r="E940">
        <v>3.070663E-3</v>
      </c>
      <c r="F940">
        <v>0.88831228899999992</v>
      </c>
      <c r="G940">
        <v>328.26253673569198</v>
      </c>
    </row>
    <row r="941" spans="1:7" x14ac:dyDescent="0.3">
      <c r="A941">
        <v>1938.5</v>
      </c>
      <c r="B941">
        <v>0.60694508300000005</v>
      </c>
      <c r="C941">
        <v>0.242806782</v>
      </c>
      <c r="D941">
        <v>4.7512881E-2</v>
      </c>
      <c r="E941">
        <v>3.3339329999999999E-3</v>
      </c>
      <c r="F941">
        <v>0.9005986789999999</v>
      </c>
      <c r="G941">
        <v>329.02601206533802</v>
      </c>
    </row>
    <row r="942" spans="1:7" x14ac:dyDescent="0.3">
      <c r="A942">
        <v>1939.5</v>
      </c>
      <c r="B942">
        <v>0.61526465399999997</v>
      </c>
      <c r="C942">
        <v>0.24501181399999999</v>
      </c>
      <c r="D942">
        <v>4.8003588E-2</v>
      </c>
      <c r="E942">
        <v>3.608951E-3</v>
      </c>
      <c r="F942">
        <v>0.91188900699999997</v>
      </c>
      <c r="G942">
        <v>329.72905252770602</v>
      </c>
    </row>
    <row r="943" spans="1:7" x14ac:dyDescent="0.3">
      <c r="A943">
        <v>1940.5</v>
      </c>
      <c r="B943">
        <v>0.62323231999999995</v>
      </c>
      <c r="C943">
        <v>0.24718185600000001</v>
      </c>
      <c r="D943">
        <v>4.8510681E-2</v>
      </c>
      <c r="E943">
        <v>3.895712E-3</v>
      </c>
      <c r="F943">
        <v>0.92282056899999987</v>
      </c>
      <c r="G943">
        <v>330.411073081822</v>
      </c>
    </row>
    <row r="944" spans="1:7" x14ac:dyDescent="0.3">
      <c r="A944">
        <v>1941.5</v>
      </c>
      <c r="B944">
        <v>0.63085119700000003</v>
      </c>
      <c r="C944">
        <v>0.24951823100000001</v>
      </c>
      <c r="D944">
        <v>4.9035414999999999E-2</v>
      </c>
      <c r="E944">
        <v>4.1975469999999994E-3</v>
      </c>
      <c r="F944">
        <v>0.93360239</v>
      </c>
      <c r="G944">
        <v>331.08503023927602</v>
      </c>
    </row>
    <row r="945" spans="1:7" x14ac:dyDescent="0.3">
      <c r="A945">
        <v>1942.5</v>
      </c>
      <c r="B945">
        <v>0.63702377899999996</v>
      </c>
      <c r="C945">
        <v>0.25202604200000001</v>
      </c>
      <c r="D945">
        <v>4.9577855999999997E-2</v>
      </c>
      <c r="E945">
        <v>4.5143510000000006E-3</v>
      </c>
      <c r="F945">
        <v>0.94314202800000002</v>
      </c>
      <c r="G945">
        <v>331.682450863143</v>
      </c>
    </row>
    <row r="946" spans="1:7" x14ac:dyDescent="0.3">
      <c r="A946">
        <v>1943.5</v>
      </c>
      <c r="B946">
        <v>0.64048661699999998</v>
      </c>
      <c r="C946">
        <v>0.254625237</v>
      </c>
      <c r="D946">
        <v>5.0141815999999999E-2</v>
      </c>
      <c r="E946">
        <v>4.84812E-3</v>
      </c>
      <c r="F946">
        <v>0.95010178999999995</v>
      </c>
      <c r="G946">
        <v>332.11907632520001</v>
      </c>
    </row>
    <row r="947" spans="1:7" x14ac:dyDescent="0.3">
      <c r="A947">
        <v>1944.5</v>
      </c>
      <c r="B947">
        <v>0.64124541199999996</v>
      </c>
      <c r="C947">
        <v>0.25727577200000001</v>
      </c>
      <c r="D947">
        <v>5.0729205999999999E-2</v>
      </c>
      <c r="E947">
        <v>5.202066E-3</v>
      </c>
      <c r="F947">
        <v>0.95445245599999995</v>
      </c>
      <c r="G947">
        <v>332.392503978761</v>
      </c>
    </row>
    <row r="948" spans="1:7" x14ac:dyDescent="0.3">
      <c r="A948">
        <v>1945.5</v>
      </c>
      <c r="B948">
        <v>0.64023062900000005</v>
      </c>
      <c r="C948">
        <v>0.25994708900000002</v>
      </c>
      <c r="D948">
        <v>5.1341336000000001E-2</v>
      </c>
      <c r="E948">
        <v>5.5799160000000007E-3</v>
      </c>
      <c r="F948">
        <v>0.9570989700000001</v>
      </c>
      <c r="G948">
        <v>332.55915689817101</v>
      </c>
    </row>
    <row r="949" spans="1:7" x14ac:dyDescent="0.3">
      <c r="A949">
        <v>1946.5</v>
      </c>
      <c r="B949">
        <v>0.63845516400000002</v>
      </c>
      <c r="C949">
        <v>0.26250949099999998</v>
      </c>
      <c r="D949">
        <v>5.1978454E-2</v>
      </c>
      <c r="E949">
        <v>5.9846189999999992E-3</v>
      </c>
      <c r="F949">
        <v>0.95892772800000003</v>
      </c>
      <c r="G949">
        <v>332.67455753469699</v>
      </c>
    </row>
    <row r="950" spans="1:7" x14ac:dyDescent="0.3">
      <c r="A950">
        <v>1947.5</v>
      </c>
      <c r="B950">
        <v>0.63684740100000004</v>
      </c>
      <c r="C950">
        <v>0.26493961100000002</v>
      </c>
      <c r="D950">
        <v>5.2643651999999999E-2</v>
      </c>
      <c r="E950">
        <v>6.4208580000000006E-3</v>
      </c>
      <c r="F950">
        <v>0.96085152200000001</v>
      </c>
      <c r="G950">
        <v>332.79599272412298</v>
      </c>
    </row>
    <row r="951" spans="1:7" x14ac:dyDescent="0.3">
      <c r="A951">
        <v>1948.5</v>
      </c>
      <c r="B951">
        <v>0.63684576100000001</v>
      </c>
      <c r="C951">
        <v>0.267406276</v>
      </c>
      <c r="D951">
        <v>5.3339137000000002E-2</v>
      </c>
      <c r="E951">
        <v>6.9075709999999995E-3</v>
      </c>
      <c r="F951">
        <v>0.96449874499999999</v>
      </c>
      <c r="G951">
        <v>333.02578889421898</v>
      </c>
    </row>
    <row r="952" spans="1:7" x14ac:dyDescent="0.3">
      <c r="A952">
        <v>1949.5</v>
      </c>
      <c r="B952">
        <v>0.63912571699999998</v>
      </c>
      <c r="C952">
        <v>0.27017564799999999</v>
      </c>
      <c r="D952">
        <v>5.4065665999999998E-2</v>
      </c>
      <c r="E952">
        <v>7.4513369999999997E-3</v>
      </c>
      <c r="F952">
        <v>0.97081836799999999</v>
      </c>
      <c r="G952">
        <v>333.42385851914401</v>
      </c>
    </row>
    <row r="953" spans="1:7" x14ac:dyDescent="0.3">
      <c r="A953">
        <v>1950.5</v>
      </c>
      <c r="B953">
        <v>0.64317771800000001</v>
      </c>
      <c r="C953">
        <v>0.27361554199999999</v>
      </c>
      <c r="D953">
        <v>5.4823630999999998E-2</v>
      </c>
      <c r="E953">
        <v>8.0459390000000002E-3</v>
      </c>
      <c r="F953">
        <v>0.97966282999999987</v>
      </c>
      <c r="G953">
        <v>333.98145034856498</v>
      </c>
    </row>
    <row r="954" spans="1:7" x14ac:dyDescent="0.3">
      <c r="A954">
        <v>1951.5</v>
      </c>
      <c r="B954">
        <v>0.64832453599999995</v>
      </c>
      <c r="C954">
        <v>0.27793400000000001</v>
      </c>
      <c r="D954">
        <v>5.5612580000000002E-2</v>
      </c>
      <c r="E954">
        <v>8.7042329999999987E-3</v>
      </c>
      <c r="F954">
        <v>0.99057534899999999</v>
      </c>
      <c r="G954">
        <v>334.67044364611201</v>
      </c>
    </row>
    <row r="955" spans="1:7" x14ac:dyDescent="0.3">
      <c r="A955">
        <v>1952.5</v>
      </c>
      <c r="B955">
        <v>0.65464545799999996</v>
      </c>
      <c r="C955">
        <v>0.283088585</v>
      </c>
      <c r="D955">
        <v>5.6434221999999999E-2</v>
      </c>
      <c r="E955">
        <v>9.4459520000000005E-3</v>
      </c>
      <c r="F955">
        <v>1.003614217</v>
      </c>
      <c r="G955">
        <v>335.49527183461498</v>
      </c>
    </row>
    <row r="956" spans="1:7" x14ac:dyDescent="0.3">
      <c r="A956">
        <v>1953.5</v>
      </c>
      <c r="B956">
        <v>0.66255804500000004</v>
      </c>
      <c r="C956">
        <v>0.28891792300000002</v>
      </c>
      <c r="D956">
        <v>5.7288404000000001E-2</v>
      </c>
      <c r="E956">
        <v>1.0289856E-2</v>
      </c>
      <c r="F956">
        <v>1.0190542279999999</v>
      </c>
      <c r="G956">
        <v>336.47424984565902</v>
      </c>
    </row>
    <row r="957" spans="1:7" x14ac:dyDescent="0.3">
      <c r="A957">
        <v>1954.5</v>
      </c>
      <c r="B957">
        <v>0.67180485099999998</v>
      </c>
      <c r="C957">
        <v>0.29525371099999997</v>
      </c>
      <c r="D957">
        <v>5.8175536E-2</v>
      </c>
      <c r="E957">
        <v>1.1256697000000001E-2</v>
      </c>
      <c r="F957">
        <v>1.0364907949999997</v>
      </c>
      <c r="G957">
        <v>337.582851992146</v>
      </c>
    </row>
    <row r="958" spans="1:7" x14ac:dyDescent="0.3">
      <c r="A958">
        <v>1955.5</v>
      </c>
      <c r="B958">
        <v>0.68078543800000002</v>
      </c>
      <c r="C958">
        <v>0.30192746799999998</v>
      </c>
      <c r="D958">
        <v>5.9096796E-2</v>
      </c>
      <c r="E958">
        <v>1.2372457999999999E-2</v>
      </c>
      <c r="F958">
        <v>1.0541821600000001</v>
      </c>
      <c r="G958">
        <v>338.71104672885002</v>
      </c>
    </row>
    <row r="959" spans="1:7" x14ac:dyDescent="0.3">
      <c r="A959">
        <v>1956.5</v>
      </c>
      <c r="B959">
        <v>0.68765786799999995</v>
      </c>
      <c r="C959">
        <v>0.30860908399999998</v>
      </c>
      <c r="D959">
        <v>6.0051915999999997E-2</v>
      </c>
      <c r="E959">
        <v>1.3669571E-2</v>
      </c>
      <c r="F959">
        <v>1.0699884390000001</v>
      </c>
      <c r="G959">
        <v>339.72204357260699</v>
      </c>
    </row>
    <row r="960" spans="1:7" x14ac:dyDescent="0.3">
      <c r="A960">
        <v>1957.5</v>
      </c>
      <c r="B960">
        <v>0.692177916</v>
      </c>
      <c r="C960">
        <v>0.31497007700000001</v>
      </c>
      <c r="D960">
        <v>6.1040233999999999E-2</v>
      </c>
      <c r="E960">
        <v>1.5180604E-2</v>
      </c>
      <c r="F960">
        <v>1.0833688310000003</v>
      </c>
      <c r="G960">
        <v>340.58020869199601</v>
      </c>
    </row>
    <row r="961" spans="1:7" x14ac:dyDescent="0.3">
      <c r="A961">
        <v>1958.5</v>
      </c>
      <c r="B961">
        <v>0.69569068000000001</v>
      </c>
      <c r="C961">
        <v>0.32098690800000002</v>
      </c>
      <c r="D961">
        <v>6.2059942E-2</v>
      </c>
      <c r="E961">
        <v>1.6935644E-2</v>
      </c>
      <c r="F961">
        <v>1.0956731740000003</v>
      </c>
      <c r="G961">
        <v>341.37124569112598</v>
      </c>
    </row>
    <row r="962" spans="1:7" x14ac:dyDescent="0.3">
      <c r="A962">
        <v>1959.5</v>
      </c>
      <c r="B962">
        <v>0.69995372099999997</v>
      </c>
      <c r="C962">
        <v>0.32694695499999998</v>
      </c>
      <c r="D962">
        <v>6.3110918000000002E-2</v>
      </c>
      <c r="E962">
        <v>1.8965004000000001E-2</v>
      </c>
      <c r="F962">
        <v>1.1089765979999997</v>
      </c>
      <c r="G962">
        <v>342.22838863672399</v>
      </c>
    </row>
    <row r="963" spans="1:7" x14ac:dyDescent="0.3">
      <c r="A963">
        <v>1960.5</v>
      </c>
      <c r="B963">
        <v>0.7071364</v>
      </c>
      <c r="C963">
        <v>0.333202634</v>
      </c>
      <c r="D963">
        <v>6.4192880999999993E-2</v>
      </c>
      <c r="E963">
        <v>2.1301832999999999E-2</v>
      </c>
      <c r="F963">
        <v>1.1258337480000005</v>
      </c>
      <c r="G963">
        <v>343.31708645287199</v>
      </c>
    </row>
    <row r="964" spans="1:7" x14ac:dyDescent="0.3">
      <c r="A964">
        <v>1961.5</v>
      </c>
      <c r="B964">
        <v>0.71864515900000003</v>
      </c>
      <c r="C964">
        <v>0.33998882000000002</v>
      </c>
      <c r="D964">
        <v>6.5304293999999999E-2</v>
      </c>
      <c r="E964">
        <v>2.4012690999999999E-2</v>
      </c>
      <c r="F964">
        <v>1.1479509639999999</v>
      </c>
      <c r="G964">
        <v>344.74996382203102</v>
      </c>
    </row>
    <row r="965" spans="1:7" x14ac:dyDescent="0.3">
      <c r="A965">
        <v>1962.5</v>
      </c>
      <c r="B965">
        <v>0.73295811700000002</v>
      </c>
      <c r="C965">
        <v>0.34740839400000001</v>
      </c>
      <c r="D965">
        <v>6.6446472000000006E-2</v>
      </c>
      <c r="E965">
        <v>2.7065696E-2</v>
      </c>
      <c r="F965">
        <v>1.1738786790000002</v>
      </c>
      <c r="G965">
        <v>346.43645124827202</v>
      </c>
    </row>
    <row r="966" spans="1:7" x14ac:dyDescent="0.3">
      <c r="A966">
        <v>1963.5</v>
      </c>
      <c r="B966">
        <v>0.74723657399999999</v>
      </c>
      <c r="C966">
        <v>0.35521292399999999</v>
      </c>
      <c r="D966">
        <v>6.7623006999999999E-2</v>
      </c>
      <c r="E966">
        <v>3.0594549999999998E-2</v>
      </c>
      <c r="F966">
        <v>1.2006670549999998</v>
      </c>
      <c r="G966">
        <v>348.18682148187099</v>
      </c>
    </row>
    <row r="967" spans="1:7" x14ac:dyDescent="0.3">
      <c r="A967">
        <v>1964.5</v>
      </c>
      <c r="B967">
        <v>0.76032179700000002</v>
      </c>
      <c r="C967">
        <v>0.36300768300000003</v>
      </c>
      <c r="D967">
        <v>6.8832231999999993E-2</v>
      </c>
      <c r="E967">
        <v>3.4569315999999996E-2</v>
      </c>
      <c r="F967">
        <v>1.2267310279999997</v>
      </c>
      <c r="G967">
        <v>349.89771284851997</v>
      </c>
    </row>
    <row r="968" spans="1:7" x14ac:dyDescent="0.3">
      <c r="A968">
        <v>1965.5</v>
      </c>
      <c r="B968">
        <v>0.77296404100000005</v>
      </c>
      <c r="C968">
        <v>0.37077612300000001</v>
      </c>
      <c r="D968">
        <v>7.0076927999999997E-2</v>
      </c>
      <c r="E968">
        <v>3.9058448999999995E-2</v>
      </c>
      <c r="F968">
        <v>1.2528755409999999</v>
      </c>
      <c r="G968">
        <v>351.62166701279699</v>
      </c>
    </row>
    <row r="969" spans="1:7" x14ac:dyDescent="0.3">
      <c r="A969">
        <v>1966.5</v>
      </c>
      <c r="B969">
        <v>0.78615526899999999</v>
      </c>
      <c r="C969">
        <v>0.37878339500000002</v>
      </c>
      <c r="D969">
        <v>7.1357328999999997E-2</v>
      </c>
      <c r="E969">
        <v>4.4063231000000008E-2</v>
      </c>
      <c r="F969">
        <v>1.2803592240000001</v>
      </c>
      <c r="G969">
        <v>353.44224582238502</v>
      </c>
    </row>
    <row r="970" spans="1:7" x14ac:dyDescent="0.3">
      <c r="A970">
        <v>1967.5</v>
      </c>
      <c r="B970">
        <v>0.80071392399999997</v>
      </c>
      <c r="C970">
        <v>0.387211639</v>
      </c>
      <c r="D970">
        <v>7.2670557999999996E-2</v>
      </c>
      <c r="E970">
        <v>4.9658517999999999E-2</v>
      </c>
      <c r="F970">
        <v>1.3102546389999996</v>
      </c>
      <c r="G970">
        <v>355.43219691004401</v>
      </c>
    </row>
    <row r="971" spans="1:7" x14ac:dyDescent="0.3">
      <c r="A971">
        <v>1968.5</v>
      </c>
      <c r="B971">
        <v>0.81695684800000001</v>
      </c>
      <c r="C971">
        <v>0.396033046</v>
      </c>
      <c r="D971">
        <v>7.4019408999999994E-2</v>
      </c>
      <c r="E971">
        <v>5.5888664999999997E-2</v>
      </c>
      <c r="F971">
        <v>1.3428979679999999</v>
      </c>
      <c r="G971">
        <v>357.616522005511</v>
      </c>
    </row>
    <row r="972" spans="1:7" x14ac:dyDescent="0.3">
      <c r="A972">
        <v>1969.5</v>
      </c>
      <c r="B972">
        <v>0.83495206099999997</v>
      </c>
      <c r="C972">
        <v>0.40517752400000001</v>
      </c>
      <c r="D972">
        <v>7.5402414000000001E-2</v>
      </c>
      <c r="E972">
        <v>6.2800635000000007E-2</v>
      </c>
      <c r="F972">
        <v>1.3783326340000002</v>
      </c>
      <c r="G972">
        <v>360.00120346133298</v>
      </c>
    </row>
    <row r="973" spans="1:7" x14ac:dyDescent="0.3">
      <c r="A973">
        <v>1970.5</v>
      </c>
      <c r="B973">
        <v>0.85443931299999998</v>
      </c>
      <c r="C973">
        <v>0.41453425599999999</v>
      </c>
      <c r="D973">
        <v>7.6818438000000003E-2</v>
      </c>
      <c r="E973">
        <v>7.0403103999999994E-2</v>
      </c>
      <c r="F973">
        <v>1.4161951110000002</v>
      </c>
      <c r="G973">
        <v>362.56496150663702</v>
      </c>
    </row>
    <row r="974" spans="1:7" x14ac:dyDescent="0.3">
      <c r="A974">
        <v>1971.5</v>
      </c>
      <c r="B974">
        <v>0.87491571800000001</v>
      </c>
      <c r="C974">
        <v>0.42385353399999998</v>
      </c>
      <c r="D974">
        <v>7.8266789000000003E-2</v>
      </c>
      <c r="E974">
        <v>7.8725934999999997E-2</v>
      </c>
      <c r="F974">
        <v>1.4557619759999998</v>
      </c>
      <c r="G974">
        <v>365.26154467970701</v>
      </c>
    </row>
    <row r="975" spans="1:7" x14ac:dyDescent="0.3">
      <c r="A975">
        <v>1972.5</v>
      </c>
      <c r="B975">
        <v>0.89596673100000002</v>
      </c>
      <c r="C975">
        <v>0.432906187</v>
      </c>
      <c r="D975">
        <v>7.9745152999999999E-2</v>
      </c>
      <c r="E975">
        <v>8.7791602999999996E-2</v>
      </c>
      <c r="F975">
        <v>1.4964096739999999</v>
      </c>
      <c r="G975">
        <v>368.05044007397203</v>
      </c>
    </row>
    <row r="976" spans="1:7" x14ac:dyDescent="0.3">
      <c r="A976">
        <v>1973.5</v>
      </c>
      <c r="B976">
        <v>0.91678163700000004</v>
      </c>
      <c r="C976">
        <v>0.44156290799999998</v>
      </c>
      <c r="D976">
        <v>8.1254407000000001E-2</v>
      </c>
      <c r="E976">
        <v>9.7658601999999997E-2</v>
      </c>
      <c r="F976">
        <v>1.5372575540000002</v>
      </c>
      <c r="G976">
        <v>370.872253419321</v>
      </c>
    </row>
    <row r="977" spans="1:7" x14ac:dyDescent="0.3">
      <c r="A977">
        <v>1974.5</v>
      </c>
      <c r="B977">
        <v>0.93680009900000005</v>
      </c>
      <c r="C977">
        <v>0.44981621999999999</v>
      </c>
      <c r="D977">
        <v>8.2793380999999999E-2</v>
      </c>
      <c r="E977">
        <v>0.108346174</v>
      </c>
      <c r="F977">
        <v>1.5777558739999997</v>
      </c>
      <c r="G977">
        <v>373.689003158471</v>
      </c>
    </row>
    <row r="978" spans="1:7" x14ac:dyDescent="0.3">
      <c r="A978">
        <v>1975.5</v>
      </c>
      <c r="B978">
        <v>0.95586993899999995</v>
      </c>
      <c r="C978">
        <v>0.45766369000000001</v>
      </c>
      <c r="D978">
        <v>8.4360571999999995E-2</v>
      </c>
      <c r="E978">
        <v>0.11991423999999998</v>
      </c>
      <c r="F978">
        <v>1.617808441</v>
      </c>
      <c r="G978">
        <v>376.49350969290401</v>
      </c>
    </row>
    <row r="979" spans="1:7" x14ac:dyDescent="0.3">
      <c r="A979">
        <v>1976.5</v>
      </c>
      <c r="B979">
        <v>0.96581577900000004</v>
      </c>
      <c r="C979">
        <v>0.465087256</v>
      </c>
      <c r="D979">
        <v>8.5959851000000004E-2</v>
      </c>
      <c r="E979">
        <v>0.13231426299999999</v>
      </c>
      <c r="F979">
        <v>1.6491771489999998</v>
      </c>
      <c r="G979">
        <v>378.70381946037298</v>
      </c>
    </row>
    <row r="980" spans="1:7" x14ac:dyDescent="0.3">
      <c r="A980">
        <v>1977.5</v>
      </c>
      <c r="B980">
        <v>0.96716270999999998</v>
      </c>
      <c r="C980">
        <v>0.47227137200000002</v>
      </c>
      <c r="D980">
        <v>8.7590151000000005E-2</v>
      </c>
      <c r="E980">
        <v>0.14558950999999998</v>
      </c>
      <c r="F980">
        <v>1.6726137430000003</v>
      </c>
      <c r="G980">
        <v>380.363614934993</v>
      </c>
    </row>
    <row r="981" spans="1:7" x14ac:dyDescent="0.3">
      <c r="A981">
        <v>1978.5</v>
      </c>
      <c r="B981">
        <v>0.99550329999999998</v>
      </c>
      <c r="C981">
        <v>0.47954710099999998</v>
      </c>
      <c r="D981">
        <v>8.9231413999999995E-2</v>
      </c>
      <c r="E981">
        <v>0.159755226</v>
      </c>
      <c r="F981">
        <v>1.7240370409999992</v>
      </c>
      <c r="G981">
        <v>384.02420542449801</v>
      </c>
    </row>
    <row r="982" spans="1:7" x14ac:dyDescent="0.3">
      <c r="A982">
        <v>1979.5</v>
      </c>
      <c r="B982">
        <v>1.023781557</v>
      </c>
      <c r="C982">
        <v>0.48724530399999999</v>
      </c>
      <c r="D982">
        <v>9.0892894000000002E-2</v>
      </c>
      <c r="E982">
        <v>0.17391576699999997</v>
      </c>
      <c r="F982">
        <v>1.7758355219999999</v>
      </c>
      <c r="G982">
        <v>387.74363406236398</v>
      </c>
    </row>
    <row r="983" spans="1:7" x14ac:dyDescent="0.3">
      <c r="A983">
        <v>1980.5</v>
      </c>
      <c r="B983">
        <v>1.04377732</v>
      </c>
      <c r="C983">
        <v>0.495683543</v>
      </c>
      <c r="D983">
        <v>9.2578021999999996E-2</v>
      </c>
      <c r="E983">
        <v>0.18513300399999999</v>
      </c>
      <c r="F983">
        <v>1.8171718890000002</v>
      </c>
      <c r="G983">
        <v>390.73542254209701</v>
      </c>
    </row>
    <row r="984" spans="1:7" x14ac:dyDescent="0.3">
      <c r="A984">
        <v>1981.5</v>
      </c>
      <c r="B984">
        <v>1.0611750959999999</v>
      </c>
      <c r="C984">
        <v>0.50479274900000004</v>
      </c>
      <c r="D984">
        <v>9.4281018999999994E-2</v>
      </c>
      <c r="E984">
        <v>0.194947748</v>
      </c>
      <c r="F984">
        <v>1.8551966120000001</v>
      </c>
      <c r="G984">
        <v>393.50569767525701</v>
      </c>
    </row>
    <row r="985" spans="1:7" x14ac:dyDescent="0.3">
      <c r="A985">
        <v>1982.5</v>
      </c>
      <c r="B985">
        <v>1.0688032510000001</v>
      </c>
      <c r="C985">
        <v>0.51406150299999998</v>
      </c>
      <c r="D985">
        <v>9.6008358000000002E-2</v>
      </c>
      <c r="E985">
        <v>0.20545892299999999</v>
      </c>
      <c r="F985">
        <v>1.8843320350000001</v>
      </c>
      <c r="G985">
        <v>395.64044129557999</v>
      </c>
    </row>
    <row r="986" spans="1:7" x14ac:dyDescent="0.3">
      <c r="A986">
        <v>1983.5</v>
      </c>
      <c r="B986">
        <v>1.098603746</v>
      </c>
      <c r="C986">
        <v>0.52295139199999996</v>
      </c>
      <c r="D986">
        <v>9.7746360000000004E-2</v>
      </c>
      <c r="E986">
        <v>0.21605113500000001</v>
      </c>
      <c r="F986">
        <v>1.9353526329999999</v>
      </c>
      <c r="G986">
        <v>399.40029084250602</v>
      </c>
    </row>
    <row r="987" spans="1:7" x14ac:dyDescent="0.3">
      <c r="A987">
        <v>1984.5</v>
      </c>
      <c r="B987">
        <v>1.126921791</v>
      </c>
      <c r="C987">
        <v>0.52872107899999998</v>
      </c>
      <c r="D987">
        <v>9.9519601999999999E-2</v>
      </c>
      <c r="E987">
        <v>0.22669515900000003</v>
      </c>
      <c r="F987">
        <v>1.9818576309999996</v>
      </c>
      <c r="G987">
        <v>402.85493947921498</v>
      </c>
    </row>
    <row r="988" spans="1:7" x14ac:dyDescent="0.3">
      <c r="A988">
        <v>1985.5</v>
      </c>
      <c r="B988">
        <v>1.148964879</v>
      </c>
      <c r="C988">
        <v>0.53169029599999995</v>
      </c>
      <c r="D988">
        <v>0.101328262</v>
      </c>
      <c r="E988">
        <v>0.23825898500000001</v>
      </c>
      <c r="F988">
        <v>2.0202424220000004</v>
      </c>
      <c r="G988">
        <v>405.726716915814</v>
      </c>
    </row>
    <row r="989" spans="1:7" x14ac:dyDescent="0.3">
      <c r="A989">
        <v>1986.5</v>
      </c>
      <c r="B989">
        <v>1.1676145</v>
      </c>
      <c r="C989">
        <v>0.538956086</v>
      </c>
      <c r="D989">
        <v>0.10312942</v>
      </c>
      <c r="E989">
        <v>0.25120892099999997</v>
      </c>
      <c r="F989">
        <v>2.0609089269999994</v>
      </c>
      <c r="G989">
        <v>408.78859733298299</v>
      </c>
    </row>
    <row r="990" spans="1:7" x14ac:dyDescent="0.3">
      <c r="A990">
        <v>1987.5</v>
      </c>
      <c r="B990">
        <v>1.193256589</v>
      </c>
      <c r="C990">
        <v>0.54563866100000002</v>
      </c>
      <c r="D990">
        <v>0.104942374</v>
      </c>
      <c r="E990">
        <v>0.26422263699999993</v>
      </c>
      <c r="F990">
        <v>2.1080602609999999</v>
      </c>
      <c r="G990">
        <v>412.36358183335</v>
      </c>
    </row>
    <row r="991" spans="1:7" x14ac:dyDescent="0.3">
      <c r="A991">
        <v>1988.5</v>
      </c>
      <c r="B991">
        <v>1.226473183</v>
      </c>
      <c r="C991">
        <v>0.55040833</v>
      </c>
      <c r="D991">
        <v>0.10677166</v>
      </c>
      <c r="E991">
        <v>0.27846896999999998</v>
      </c>
      <c r="F991">
        <v>2.1621221429999995</v>
      </c>
      <c r="G991">
        <v>416.495015683151</v>
      </c>
    </row>
    <row r="992" spans="1:7" x14ac:dyDescent="0.3">
      <c r="A992">
        <v>1989.5</v>
      </c>
      <c r="B992">
        <v>1.2447872689999999</v>
      </c>
      <c r="C992">
        <v>0.55685812099999998</v>
      </c>
      <c r="D992">
        <v>0.10860652</v>
      </c>
      <c r="E992">
        <v>0.29161996399999995</v>
      </c>
      <c r="F992">
        <v>2.2018718740000001</v>
      </c>
      <c r="G992">
        <v>419.55690459967798</v>
      </c>
    </row>
    <row r="993" spans="1:7" x14ac:dyDescent="0.3">
      <c r="A993">
        <v>1990.5</v>
      </c>
      <c r="B993">
        <v>1.2672613779999999</v>
      </c>
      <c r="C993">
        <v>0.56026920400000002</v>
      </c>
      <c r="D993">
        <v>0.110462897</v>
      </c>
      <c r="E993">
        <v>0.30331615699999998</v>
      </c>
      <c r="F993">
        <v>2.241309636</v>
      </c>
      <c r="G993">
        <v>422.61381564174098</v>
      </c>
    </row>
    <row r="994" spans="1:7" x14ac:dyDescent="0.3">
      <c r="A994">
        <v>1991.5</v>
      </c>
      <c r="B994">
        <v>1.2929258889999999</v>
      </c>
      <c r="C994">
        <v>0.56557548000000002</v>
      </c>
      <c r="D994">
        <v>0.112308317</v>
      </c>
      <c r="E994">
        <v>0.31119993600000001</v>
      </c>
      <c r="F994">
        <v>2.2820096219999995</v>
      </c>
      <c r="G994">
        <v>425.788288047197</v>
      </c>
    </row>
    <row r="995" spans="1:7" x14ac:dyDescent="0.3">
      <c r="A995">
        <v>1992.5</v>
      </c>
      <c r="B995">
        <v>1.3156874919999999</v>
      </c>
      <c r="C995">
        <v>0.571612809</v>
      </c>
      <c r="D995">
        <v>0.114498541</v>
      </c>
      <c r="E995">
        <v>0.31906925000000008</v>
      </c>
      <c r="F995">
        <v>2.320868092</v>
      </c>
      <c r="G995">
        <v>428.83905475371603</v>
      </c>
    </row>
    <row r="996" spans="1:7" x14ac:dyDescent="0.3">
      <c r="A996">
        <v>1993.5</v>
      </c>
      <c r="B996">
        <v>1.3254167379999999</v>
      </c>
      <c r="C996">
        <v>0.571941488</v>
      </c>
      <c r="D996">
        <v>0.115863645</v>
      </c>
      <c r="E996">
        <v>0.323886283</v>
      </c>
      <c r="F996">
        <v>2.337108154</v>
      </c>
      <c r="G996">
        <v>430.11994486358202</v>
      </c>
    </row>
    <row r="997" spans="1:7" x14ac:dyDescent="0.3">
      <c r="A997">
        <v>1994.5</v>
      </c>
      <c r="B997">
        <v>1.3472192999999999</v>
      </c>
      <c r="C997">
        <v>0.57515898399999998</v>
      </c>
      <c r="D997">
        <v>0.11744937900000001</v>
      </c>
      <c r="E997">
        <v>0.32808650999999994</v>
      </c>
      <c r="F997">
        <v>2.3679141729999995</v>
      </c>
      <c r="G997">
        <v>432.55854653518202</v>
      </c>
    </row>
    <row r="998" spans="1:7" x14ac:dyDescent="0.3">
      <c r="A998">
        <v>1995.5</v>
      </c>
      <c r="B998">
        <v>1.3776995830000001</v>
      </c>
      <c r="C998">
        <v>0.57805781000000001</v>
      </c>
      <c r="D998">
        <v>0.11940292700000001</v>
      </c>
      <c r="E998">
        <v>0.33149020100000004</v>
      </c>
      <c r="F998">
        <v>2.4066505209999995</v>
      </c>
      <c r="G998">
        <v>435.64238601991502</v>
      </c>
    </row>
    <row r="999" spans="1:7" x14ac:dyDescent="0.3">
      <c r="A999">
        <v>1996.5</v>
      </c>
      <c r="B999">
        <v>1.403149183</v>
      </c>
      <c r="C999">
        <v>0.57873339400000001</v>
      </c>
      <c r="D999">
        <v>0.12186986900000001</v>
      </c>
      <c r="E999">
        <v>0.334778566</v>
      </c>
      <c r="F999">
        <v>2.4385310119999999</v>
      </c>
      <c r="G999">
        <v>438.18555809083398</v>
      </c>
    </row>
    <row r="1000" spans="1:7" x14ac:dyDescent="0.3">
      <c r="A1000">
        <v>1997.5</v>
      </c>
      <c r="B1000">
        <v>1.422748275</v>
      </c>
      <c r="C1000">
        <v>0.58173820099999995</v>
      </c>
      <c r="D1000">
        <v>0.124816628</v>
      </c>
      <c r="E1000">
        <v>0.33682931399999999</v>
      </c>
      <c r="F1000">
        <v>2.4661324179999999</v>
      </c>
      <c r="G1000">
        <v>440.40666290446501</v>
      </c>
    </row>
    <row r="1001" spans="1:7" x14ac:dyDescent="0.3">
      <c r="A1001">
        <v>1998.5</v>
      </c>
      <c r="B1001">
        <v>1.461917267</v>
      </c>
      <c r="C1001">
        <v>0.586342001</v>
      </c>
      <c r="D1001">
        <v>0.12748367599999999</v>
      </c>
      <c r="E1001">
        <v>0.33925189399999994</v>
      </c>
      <c r="F1001">
        <v>2.5149948379999989</v>
      </c>
      <c r="G1001">
        <v>444.36835400823799</v>
      </c>
    </row>
    <row r="1002" spans="1:7" x14ac:dyDescent="0.3">
      <c r="A1002">
        <v>1999.5</v>
      </c>
      <c r="B1002">
        <v>1.4867192039999999</v>
      </c>
      <c r="C1002">
        <v>0.58890946700000002</v>
      </c>
      <c r="D1002">
        <v>0.12989208299999999</v>
      </c>
      <c r="E1002">
        <v>0.34124867799999997</v>
      </c>
      <c r="F1002">
        <v>2.5467694320000001</v>
      </c>
      <c r="G1002">
        <v>446.96003824610199</v>
      </c>
    </row>
    <row r="1003" spans="1:7" x14ac:dyDescent="0.3">
      <c r="A1003">
        <v>2000.5</v>
      </c>
      <c r="B1003">
        <v>1.5082243959999999</v>
      </c>
      <c r="C1003">
        <v>0.58888505000000002</v>
      </c>
      <c r="D1003">
        <v>0.13262774899999999</v>
      </c>
      <c r="E1003">
        <v>0.34383576599999999</v>
      </c>
      <c r="F1003">
        <v>2.5735729610000004</v>
      </c>
      <c r="G1003">
        <v>449.14595414422701</v>
      </c>
    </row>
    <row r="1004" spans="1:7" x14ac:dyDescent="0.3">
      <c r="A1004">
        <v>2001.5</v>
      </c>
      <c r="B1004">
        <v>1.530378258</v>
      </c>
      <c r="C1004">
        <v>0.58925612299999997</v>
      </c>
      <c r="D1004">
        <v>0.134861916</v>
      </c>
      <c r="E1004">
        <v>0.34584798700000002</v>
      </c>
      <c r="F1004">
        <v>2.6003442840000006</v>
      </c>
      <c r="G1004">
        <v>451.34290241027202</v>
      </c>
    </row>
    <row r="1005" spans="1:7" x14ac:dyDescent="0.3">
      <c r="A1005">
        <v>2002.5</v>
      </c>
      <c r="B1005">
        <v>1.5570623720000001</v>
      </c>
      <c r="C1005">
        <v>0.588925688</v>
      </c>
      <c r="D1005">
        <v>0.13654038099999999</v>
      </c>
      <c r="E1005">
        <v>0.34740876599999998</v>
      </c>
      <c r="F1005">
        <v>2.6299372070000002</v>
      </c>
      <c r="G1005">
        <v>453.786344106765</v>
      </c>
    </row>
    <row r="1006" spans="1:7" x14ac:dyDescent="0.3">
      <c r="A1006">
        <v>2003.5</v>
      </c>
      <c r="B1006">
        <v>1.5935089280000001</v>
      </c>
      <c r="C1006">
        <v>0.59109573500000001</v>
      </c>
      <c r="D1006">
        <v>0.138435381</v>
      </c>
      <c r="E1006">
        <v>0.34893396000000004</v>
      </c>
      <c r="F1006">
        <v>2.671974004</v>
      </c>
      <c r="G1006">
        <v>457.28029290562</v>
      </c>
    </row>
    <row r="1007" spans="1:7" x14ac:dyDescent="0.3">
      <c r="A1007">
        <v>2004.5</v>
      </c>
      <c r="B1007">
        <v>1.6217640099999999</v>
      </c>
      <c r="C1007">
        <v>0.59016113699999995</v>
      </c>
      <c r="D1007">
        <v>0.140513153</v>
      </c>
      <c r="E1007">
        <v>0.35031436399999999</v>
      </c>
      <c r="F1007">
        <v>2.7027526639999997</v>
      </c>
      <c r="G1007">
        <v>459.84400504727699</v>
      </c>
    </row>
    <row r="1008" spans="1:7" x14ac:dyDescent="0.3">
      <c r="A1008">
        <v>2005.5</v>
      </c>
      <c r="B1008">
        <v>1.6513023339999999</v>
      </c>
      <c r="C1008">
        <v>0.58941371099999995</v>
      </c>
      <c r="D1008">
        <v>0.14292365900000001</v>
      </c>
      <c r="E1008">
        <v>0.35194449100000003</v>
      </c>
      <c r="F1008">
        <v>2.7355841950000004</v>
      </c>
      <c r="G1008">
        <v>462.60510954538501</v>
      </c>
    </row>
    <row r="1009" spans="1:7" x14ac:dyDescent="0.3">
      <c r="A1009">
        <v>2006.5</v>
      </c>
      <c r="B1009">
        <v>1.6799912420000001</v>
      </c>
      <c r="C1009">
        <v>0.58925138300000002</v>
      </c>
      <c r="D1009">
        <v>0.14529577099999999</v>
      </c>
      <c r="E1009">
        <v>0.35373163900000004</v>
      </c>
      <c r="F1009">
        <v>2.7682700349999996</v>
      </c>
      <c r="G1009">
        <v>465.36351981956</v>
      </c>
    </row>
    <row r="1010" spans="1:7" x14ac:dyDescent="0.3">
      <c r="A1010">
        <v>2007.5</v>
      </c>
      <c r="B1010">
        <v>1.7068601029999999</v>
      </c>
      <c r="C1010">
        <v>0.59247855100000002</v>
      </c>
      <c r="D1010">
        <v>0.147483321</v>
      </c>
      <c r="E1010">
        <v>0.35582799899999995</v>
      </c>
      <c r="F1010">
        <v>2.8026499740000004</v>
      </c>
      <c r="G1010">
        <v>468.29166901347298</v>
      </c>
    </row>
    <row r="1011" spans="1:7" x14ac:dyDescent="0.3">
      <c r="A1011">
        <v>2008.5</v>
      </c>
      <c r="B1011">
        <v>1.734861073</v>
      </c>
      <c r="C1011">
        <v>0.59545954499999998</v>
      </c>
      <c r="D1011">
        <v>0.15073852600000001</v>
      </c>
      <c r="E1011">
        <v>0.35819361199999999</v>
      </c>
      <c r="F1011">
        <v>2.8392527560000005</v>
      </c>
      <c r="G1011">
        <v>471.422197047731</v>
      </c>
    </row>
    <row r="1012" spans="1:7" x14ac:dyDescent="0.3">
      <c r="A1012">
        <v>2009.5</v>
      </c>
      <c r="B1012">
        <v>1.7564729960000001</v>
      </c>
      <c r="C1012">
        <v>0.59759383300000002</v>
      </c>
      <c r="D1012">
        <v>0.15320599600000001</v>
      </c>
      <c r="E1012">
        <v>0.35984982000000004</v>
      </c>
      <c r="F1012">
        <v>2.8671226450000002</v>
      </c>
      <c r="G1012">
        <v>473.80882441367299</v>
      </c>
    </row>
    <row r="1013" spans="1:7" x14ac:dyDescent="0.3">
      <c r="A1013">
        <v>2010.5</v>
      </c>
      <c r="B1013">
        <v>1.785357686</v>
      </c>
      <c r="C1013">
        <v>0.60066971199999997</v>
      </c>
      <c r="D1013">
        <v>0.15589798299999999</v>
      </c>
      <c r="E1013">
        <v>0.36180560400000006</v>
      </c>
      <c r="F1013">
        <v>2.9037309849999997</v>
      </c>
      <c r="G1013">
        <v>476.97619063195498</v>
      </c>
    </row>
    <row r="1014" spans="1:7" x14ac:dyDescent="0.3">
      <c r="A1014">
        <v>2011.5</v>
      </c>
      <c r="B1014">
        <v>1.8123099149999999</v>
      </c>
      <c r="C1014">
        <v>0.60324547299999998</v>
      </c>
      <c r="D1014">
        <v>0.158773521</v>
      </c>
      <c r="E1014">
        <v>0.36370387399999998</v>
      </c>
      <c r="F1014">
        <v>2.9380327830000001</v>
      </c>
      <c r="G1014">
        <v>479.950287206761</v>
      </c>
    </row>
    <row r="1015" spans="1:7" x14ac:dyDescent="0.3">
      <c r="A1015">
        <v>2012.5</v>
      </c>
      <c r="B1015">
        <v>1.840517848</v>
      </c>
      <c r="C1015">
        <v>0.60478926099999997</v>
      </c>
      <c r="D1015">
        <v>0.16143923600000001</v>
      </c>
      <c r="E1015">
        <v>0.36551531399999998</v>
      </c>
      <c r="F1015">
        <v>2.9722616589999999</v>
      </c>
      <c r="G1015">
        <v>482.94422143720902</v>
      </c>
    </row>
    <row r="1016" spans="1:7" x14ac:dyDescent="0.3">
      <c r="A1016">
        <v>2013.5</v>
      </c>
      <c r="B1016">
        <v>1.879388305</v>
      </c>
      <c r="C1016">
        <v>0.60673622400000005</v>
      </c>
      <c r="D1016">
        <v>0.1639951</v>
      </c>
      <c r="E1016">
        <v>0.36734260800000007</v>
      </c>
      <c r="F1016">
        <v>3.0174622369999997</v>
      </c>
      <c r="G1016">
        <v>486.92380933944997</v>
      </c>
    </row>
    <row r="1017" spans="1:7" x14ac:dyDescent="0.3">
      <c r="A1017">
        <v>2014.5</v>
      </c>
      <c r="B1017">
        <v>1.908504939</v>
      </c>
      <c r="C1017">
        <v>0.61169248899999995</v>
      </c>
      <c r="D1017">
        <v>0.16725242400000001</v>
      </c>
      <c r="E1017">
        <v>0.36917027299999999</v>
      </c>
      <c r="F1017">
        <v>3.0566201250000007</v>
      </c>
      <c r="G1017">
        <v>490.39433174178203</v>
      </c>
    </row>
    <row r="1018" spans="1:7" x14ac:dyDescent="0.3">
      <c r="A1018">
        <v>2015.5</v>
      </c>
      <c r="B1018">
        <v>1.938835256</v>
      </c>
      <c r="C1018">
        <v>0.61656967799999995</v>
      </c>
      <c r="D1018">
        <v>0.170380159</v>
      </c>
      <c r="E1018">
        <v>0.37078806799999992</v>
      </c>
      <c r="F1018">
        <v>3.0965731609999998</v>
      </c>
      <c r="G1018">
        <v>493.94774189063497</v>
      </c>
    </row>
    <row r="1019" spans="1:7" x14ac:dyDescent="0.3">
      <c r="A1019">
        <v>2016.5</v>
      </c>
      <c r="B1019">
        <v>1.97963851</v>
      </c>
      <c r="C1019">
        <v>0.61992292400000004</v>
      </c>
      <c r="D1019">
        <v>0.17253985399999999</v>
      </c>
      <c r="E1019">
        <v>0.37220939000000003</v>
      </c>
      <c r="F1019">
        <v>3.1443106780000005</v>
      </c>
      <c r="G1019">
        <v>498.22680781899902</v>
      </c>
    </row>
    <row r="1020" spans="1:7" x14ac:dyDescent="0.3">
      <c r="A1020">
        <v>2017.5</v>
      </c>
      <c r="B1020">
        <v>2.0145615870000002</v>
      </c>
      <c r="C1020">
        <v>0.62250676100000002</v>
      </c>
      <c r="D1020">
        <v>0.175341787</v>
      </c>
      <c r="E1020">
        <v>0.37438737900000002</v>
      </c>
      <c r="F1020">
        <v>3.1867975139999998</v>
      </c>
      <c r="G1020">
        <v>502.06915137892599</v>
      </c>
    </row>
    <row r="1021" spans="1:7" x14ac:dyDescent="0.3">
      <c r="A1021">
        <v>2018.5</v>
      </c>
      <c r="B1021">
        <v>2.0406455879999998</v>
      </c>
      <c r="C1021">
        <v>0.625709509</v>
      </c>
      <c r="D1021">
        <v>0.17889211999999999</v>
      </c>
      <c r="E1021">
        <v>0.37659172500000004</v>
      </c>
      <c r="F1021">
        <v>3.2218389419999993</v>
      </c>
      <c r="G1021">
        <v>505.24869750975</v>
      </c>
    </row>
    <row r="1022" spans="1:7" x14ac:dyDescent="0.3">
      <c r="A1022">
        <v>2019.5</v>
      </c>
      <c r="B1022">
        <v>2.0741692349999998</v>
      </c>
      <c r="C1022">
        <v>0.629376877</v>
      </c>
      <c r="D1022">
        <v>0.181100544</v>
      </c>
      <c r="E1022">
        <v>0.37820162299999993</v>
      </c>
      <c r="F1022">
        <v>3.2628482789999995</v>
      </c>
      <c r="G1022">
        <v>508.98788309041203</v>
      </c>
    </row>
    <row r="1023" spans="1:7" x14ac:dyDescent="0.3">
      <c r="A1023">
        <v>2020.5</v>
      </c>
      <c r="B1023">
        <v>2.1080298630000001</v>
      </c>
      <c r="C1023">
        <v>0.63327007999999996</v>
      </c>
      <c r="D1023">
        <v>0.18414082000000001</v>
      </c>
      <c r="E1023">
        <v>0.37924964200000005</v>
      </c>
      <c r="F1023">
        <v>3.3046904050000006</v>
      </c>
      <c r="G1023">
        <v>512.83872084192797</v>
      </c>
    </row>
    <row r="1024" spans="1:7" x14ac:dyDescent="0.3">
      <c r="A1024">
        <v>2021.5</v>
      </c>
      <c r="B1024">
        <v>2.1371171229999999</v>
      </c>
      <c r="C1024">
        <v>0.64116544600000003</v>
      </c>
      <c r="D1024">
        <v>0.188240449</v>
      </c>
      <c r="E1024">
        <v>0.38042890299999998</v>
      </c>
      <c r="F1024">
        <v>3.3469519209999996</v>
      </c>
      <c r="G1024">
        <v>516.75937761351497</v>
      </c>
    </row>
    <row r="1025" spans="1:7" x14ac:dyDescent="0.3">
      <c r="A1025">
        <v>2022.5</v>
      </c>
      <c r="B1025">
        <v>2.1665862589999998</v>
      </c>
      <c r="C1025">
        <v>0.64828317300000005</v>
      </c>
      <c r="D1025">
        <v>0.192513668</v>
      </c>
      <c r="E1025">
        <v>0.38148457099999999</v>
      </c>
      <c r="F1025">
        <v>3.3888676709999999</v>
      </c>
      <c r="G1025">
        <v>520.65794619731105</v>
      </c>
    </row>
    <row r="1026" spans="1:7" x14ac:dyDescent="0.3">
      <c r="A1026">
        <v>2023.5</v>
      </c>
      <c r="B1026">
        <v>2.197868379</v>
      </c>
      <c r="C1026">
        <v>0.65322613799999996</v>
      </c>
      <c r="D1026">
        <v>0.19554705</v>
      </c>
      <c r="E1026">
        <v>0.38199241499999997</v>
      </c>
      <c r="F1026">
        <v>3.428633982</v>
      </c>
      <c r="G1026">
        <v>524.38383496983795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6D64-14DD-4BCA-B25A-181939323DFA}">
  <dimension ref="A1:H331"/>
  <sheetViews>
    <sheetView tabSelected="1" zoomScaleNormal="100" workbookViewId="0">
      <pane ySplit="4" topLeftCell="A5" activePane="bottomLeft" state="frozen"/>
      <selection pane="bottomLeft" activeCell="B3" sqref="B3"/>
    </sheetView>
  </sheetViews>
  <sheetFormatPr defaultRowHeight="14.4" x14ac:dyDescent="0.3"/>
  <cols>
    <col min="2" max="2" width="8.5546875" bestFit="1" customWidth="1"/>
    <col min="3" max="3" width="9.77734375" bestFit="1" customWidth="1"/>
    <col min="4" max="4" width="8" bestFit="1" customWidth="1"/>
    <col min="5" max="5" width="10" bestFit="1" customWidth="1"/>
    <col min="6" max="6" width="8.21875" bestFit="1" customWidth="1"/>
  </cols>
  <sheetData>
    <row r="1" spans="1:8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 x14ac:dyDescent="0.3">
      <c r="A2" t="s">
        <v>40</v>
      </c>
    </row>
    <row r="3" spans="1:8" x14ac:dyDescent="0.3">
      <c r="A3" s="10">
        <f>[1]CH4!$D2</f>
        <v>1973.92</v>
      </c>
      <c r="B3" s="11">
        <f>[1]CH4!$S2</f>
        <v>1417.095</v>
      </c>
      <c r="C3" s="10">
        <f>[1]CO2!$D3</f>
        <v>1972.92</v>
      </c>
      <c r="D3" s="11">
        <f>[1]CO2!$S3</f>
        <v>330.416</v>
      </c>
      <c r="E3" s="10">
        <f>[1]N2O!$D2</f>
        <v>1969.13</v>
      </c>
      <c r="F3" s="11">
        <f>[1]N2O!$S2</f>
        <v>292.93799999999999</v>
      </c>
      <c r="G3">
        <v>1900</v>
      </c>
      <c r="H3">
        <v>0</v>
      </c>
    </row>
    <row r="4" spans="1:8" x14ac:dyDescent="0.3">
      <c r="A4" s="10">
        <f>[1]CH4!$D3</f>
        <v>1970.69</v>
      </c>
      <c r="B4" s="11">
        <f>[1]CH4!$S3</f>
        <v>1372.9349999999999</v>
      </c>
      <c r="C4" s="10">
        <f>[1]CO2!$D4</f>
        <v>1969.69</v>
      </c>
      <c r="D4" s="11">
        <f>[1]CO2!$S4</f>
        <v>323.78699999999998</v>
      </c>
      <c r="E4" s="10">
        <f>[1]N2O!$D3</f>
        <v>1968.85</v>
      </c>
      <c r="F4" s="11">
        <f>[1]N2O!$S3</f>
        <v>293.62299999999999</v>
      </c>
      <c r="G4">
        <v>1900</v>
      </c>
      <c r="H4">
        <v>500</v>
      </c>
    </row>
    <row r="5" spans="1:8" x14ac:dyDescent="0.3">
      <c r="A5" s="10">
        <f>[1]CH4!$D4</f>
        <v>1970.13</v>
      </c>
      <c r="B5" s="11">
        <f>[1]CH4!$S4</f>
        <v>1367.2550000000001</v>
      </c>
      <c r="C5" s="10">
        <f>[1]CO2!$D5</f>
        <v>1969.13</v>
      </c>
      <c r="D5" s="11">
        <f>[1]CO2!$S5</f>
        <v>324.065</v>
      </c>
      <c r="E5" s="10">
        <f>[1]N2O!$D4</f>
        <v>1967.07</v>
      </c>
      <c r="F5" s="11">
        <f>[1]N2O!$S4</f>
        <v>295.49900000000002</v>
      </c>
    </row>
    <row r="6" spans="1:8" x14ac:dyDescent="0.3">
      <c r="A6" s="10">
        <f>[1]CH4!$D5</f>
        <v>1969.85</v>
      </c>
      <c r="B6" s="11">
        <f>[1]CH4!$S5</f>
        <v>1352.502</v>
      </c>
      <c r="C6" s="10">
        <f>[1]CO2!$D6</f>
        <v>1968.85</v>
      </c>
      <c r="D6" s="11">
        <f>[1]CO2!$S6</f>
        <v>320.25700000000001</v>
      </c>
      <c r="E6" s="10">
        <f>[1]N2O!$D5</f>
        <v>1965.67</v>
      </c>
      <c r="F6" s="11">
        <f>[1]N2O!$S5</f>
        <v>292.61799999999999</v>
      </c>
    </row>
    <row r="7" spans="1:8" x14ac:dyDescent="0.3">
      <c r="A7" s="10">
        <f>[1]CH4!$D6</f>
        <v>1968.07</v>
      </c>
      <c r="B7" s="11">
        <f>[1]CH4!$S6</f>
        <v>1335.269</v>
      </c>
      <c r="C7" s="10">
        <f>[1]CO2!$D7</f>
        <v>1967.07</v>
      </c>
      <c r="D7" s="11">
        <f>[1]CO2!$S7</f>
        <v>320.36799999999999</v>
      </c>
      <c r="E7" s="10">
        <f>[1]N2O!$D6</f>
        <v>1965.6</v>
      </c>
      <c r="F7" s="11">
        <f>[1]N2O!$S6</f>
        <v>292.64</v>
      </c>
    </row>
    <row r="8" spans="1:8" x14ac:dyDescent="0.3">
      <c r="A8" s="10">
        <f>[1]CH4!$D7</f>
        <v>1966.67</v>
      </c>
      <c r="B8" s="11">
        <f>[1]CH4!$S7</f>
        <v>1300.0340000000001</v>
      </c>
      <c r="C8" s="10">
        <f>[1]CO2!$D8</f>
        <v>1965.67</v>
      </c>
      <c r="D8" s="11">
        <f>[1]CO2!$S8</f>
        <v>319.17700000000002</v>
      </c>
      <c r="E8" s="10">
        <f>[1]N2O!$D7</f>
        <v>1963.86</v>
      </c>
      <c r="F8" s="11">
        <f>[1]N2O!$S7</f>
        <v>296.67200000000003</v>
      </c>
    </row>
    <row r="9" spans="1:8" x14ac:dyDescent="0.3">
      <c r="A9" s="10">
        <f>[1]CH4!$D8</f>
        <v>1966.6</v>
      </c>
      <c r="B9" s="11">
        <f>[1]CH4!$S8</f>
        <v>1293.194</v>
      </c>
      <c r="C9" s="10">
        <f>[1]CO2!$D9</f>
        <v>1965.6</v>
      </c>
      <c r="D9" s="11">
        <f>[1]CO2!$S9</f>
        <v>319.875</v>
      </c>
      <c r="E9" s="10">
        <f>[1]N2O!$D8</f>
        <v>1962.93</v>
      </c>
      <c r="F9" s="11">
        <f>[1]N2O!$S8</f>
        <v>290.976</v>
      </c>
    </row>
    <row r="10" spans="1:8" x14ac:dyDescent="0.3">
      <c r="A10" s="10">
        <f>[1]CH4!$D9</f>
        <v>1964.86</v>
      </c>
      <c r="B10" s="11">
        <f>[1]CH4!$S9</f>
        <v>1277.163</v>
      </c>
      <c r="C10" s="10">
        <f>[1]CO2!$D10</f>
        <v>1963.86</v>
      </c>
      <c r="D10" s="11">
        <f>[1]CO2!$S10</f>
        <v>319.26400000000001</v>
      </c>
      <c r="E10" s="10">
        <f>[1]N2O!$D9</f>
        <v>1962.71</v>
      </c>
      <c r="F10" s="11">
        <f>[1]N2O!$S9</f>
        <v>294.91500000000002</v>
      </c>
    </row>
    <row r="11" spans="1:8" x14ac:dyDescent="0.3">
      <c r="A11" s="10">
        <f>[1]CH4!$D10</f>
        <v>1964.5</v>
      </c>
      <c r="B11" s="11">
        <f>[1]CH4!$S10</f>
        <v>1274.027</v>
      </c>
      <c r="C11" s="10">
        <f>[1]CO2!$D11</f>
        <v>1963.5</v>
      </c>
      <c r="D11" s="11">
        <f>[1]CO2!$S11</f>
        <v>318.947</v>
      </c>
      <c r="E11" s="10">
        <f>[1]N2O!$D10</f>
        <v>1960.71</v>
      </c>
      <c r="F11" s="11">
        <f>[1]N2O!$S10</f>
        <v>288.81099999999998</v>
      </c>
    </row>
    <row r="12" spans="1:8" x14ac:dyDescent="0.3">
      <c r="A12" s="10">
        <f>[1]CH4!$D11</f>
        <v>1963.93</v>
      </c>
      <c r="B12" s="11">
        <f>[1]CH4!$S11</f>
        <v>1273.3219999999999</v>
      </c>
      <c r="C12" s="10">
        <f>[1]CO2!$D12</f>
        <v>1962.93</v>
      </c>
      <c r="D12" s="11">
        <f>[1]CO2!$S12</f>
        <v>319.75700000000001</v>
      </c>
      <c r="E12" s="10">
        <f>[1]N2O!$D11</f>
        <v>1958.9</v>
      </c>
      <c r="F12" s="11">
        <f>[1]N2O!$S11</f>
        <v>295.94600000000003</v>
      </c>
    </row>
    <row r="13" spans="1:8" x14ac:dyDescent="0.3">
      <c r="A13" s="10">
        <f>[1]CH4!$D12</f>
        <v>1963.93</v>
      </c>
      <c r="B13" s="11">
        <f>[1]CH4!$S12</f>
        <v>1268.2860000000001</v>
      </c>
      <c r="C13" s="10">
        <f>[1]CO2!$D13</f>
        <v>1962.93</v>
      </c>
      <c r="D13" s="11">
        <f>[1]CO2!$S13</f>
        <v>317.322</v>
      </c>
      <c r="E13" s="10">
        <f>[1]N2O!$D12</f>
        <v>1958</v>
      </c>
      <c r="F13" s="11">
        <f>[1]N2O!$S12</f>
        <v>292.255</v>
      </c>
    </row>
    <row r="14" spans="1:8" x14ac:dyDescent="0.3">
      <c r="A14" s="10">
        <f>[1]CH4!$D13</f>
        <v>1963.86</v>
      </c>
      <c r="B14" s="11">
        <f>[1]CH4!$S13</f>
        <v>1263.0260000000001</v>
      </c>
      <c r="C14" s="10">
        <f>[1]CO2!$D14</f>
        <v>1962.86</v>
      </c>
      <c r="D14" s="11">
        <f>[1]CO2!$S14</f>
        <v>317.42</v>
      </c>
      <c r="E14" s="10">
        <f>[1]N2O!$D13</f>
        <v>1957.2</v>
      </c>
      <c r="F14" s="11">
        <f>[1]N2O!$S13</f>
        <v>289.76299999999998</v>
      </c>
    </row>
    <row r="15" spans="1:8" x14ac:dyDescent="0.3">
      <c r="A15" s="10">
        <f>[1]CH4!$D14</f>
        <v>1963.71</v>
      </c>
      <c r="B15" s="11">
        <f>[1]CH4!$S14</f>
        <v>1287.816</v>
      </c>
      <c r="C15" s="10">
        <f>[1]CO2!$D15</f>
        <v>1962.71</v>
      </c>
      <c r="D15" s="11">
        <f>[1]CO2!$S15</f>
        <v>319.11900000000003</v>
      </c>
      <c r="E15" s="10">
        <f>[1]N2O!$D14</f>
        <v>1957</v>
      </c>
      <c r="F15" s="11">
        <f>[1]N2O!$S14</f>
        <v>293.85500000000002</v>
      </c>
    </row>
    <row r="16" spans="1:8" x14ac:dyDescent="0.3">
      <c r="A16" s="10">
        <f>[1]CH4!$D15</f>
        <v>1963.64</v>
      </c>
      <c r="B16" s="11">
        <f>[1]CH4!$S15</f>
        <v>1275.299</v>
      </c>
      <c r="C16" s="10">
        <f>[1]CO2!$D16</f>
        <v>1962.64</v>
      </c>
      <c r="D16" s="11">
        <f>[1]CO2!$S16</f>
        <v>317.50299999999999</v>
      </c>
      <c r="E16" s="10">
        <f>[1]N2O!$D15</f>
        <v>1957</v>
      </c>
      <c r="F16" s="11">
        <f>[1]N2O!$S15</f>
        <v>289.803</v>
      </c>
    </row>
    <row r="17" spans="1:6" x14ac:dyDescent="0.3">
      <c r="A17" s="10">
        <f>[1]CH4!$D16</f>
        <v>1961.71</v>
      </c>
      <c r="B17" s="11">
        <f>[1]CH4!$S16</f>
        <v>1227.7919999999999</v>
      </c>
      <c r="C17" s="10">
        <f>[1]CO2!$D17</f>
        <v>1960.71</v>
      </c>
      <c r="D17" s="11">
        <f>[1]CO2!$S17</f>
        <v>312.98099999999999</v>
      </c>
      <c r="E17" s="10">
        <f>[1]N2O!$D16</f>
        <v>1955.33</v>
      </c>
      <c r="F17" s="11">
        <f>[1]N2O!$S16</f>
        <v>289.97000000000003</v>
      </c>
    </row>
    <row r="18" spans="1:6" x14ac:dyDescent="0.3">
      <c r="A18" s="10">
        <f>[1]CH4!$D17</f>
        <v>1959.9</v>
      </c>
      <c r="B18" s="11">
        <f>[1]CH4!$S17</f>
        <v>1213.556</v>
      </c>
      <c r="C18" s="10">
        <f>[1]CO2!$D18</f>
        <v>1958.9</v>
      </c>
      <c r="D18" s="11">
        <f>[1]CO2!$S18</f>
        <v>316.47300000000001</v>
      </c>
      <c r="E18" s="10">
        <f>[1]N2O!$D17</f>
        <v>1955.33</v>
      </c>
      <c r="F18" s="11">
        <f>[1]N2O!$S17</f>
        <v>293.06700000000001</v>
      </c>
    </row>
    <row r="19" spans="1:6" x14ac:dyDescent="0.3">
      <c r="A19" s="10">
        <f>[1]CH4!$D18</f>
        <v>1959</v>
      </c>
      <c r="B19" s="11">
        <f>[1]CH4!$S18</f>
        <v>1207.4870000000001</v>
      </c>
      <c r="C19" s="10">
        <f>[1]CO2!$D19</f>
        <v>1958</v>
      </c>
      <c r="D19" s="11">
        <f>[1]CO2!$S19</f>
        <v>314.71600000000001</v>
      </c>
      <c r="E19" s="10">
        <f>[1]N2O!$D18</f>
        <v>1954.13</v>
      </c>
      <c r="F19" s="11">
        <f>[1]N2O!$S18</f>
        <v>288.49799999999999</v>
      </c>
    </row>
    <row r="20" spans="1:6" x14ac:dyDescent="0.3">
      <c r="A20" s="10">
        <f>[1]CH4!$D19</f>
        <v>1958.2</v>
      </c>
      <c r="B20" s="11">
        <f>[1]CH4!$S19</f>
        <v>1208.566</v>
      </c>
      <c r="C20" s="10">
        <f>[1]CO2!$D20</f>
        <v>1957.2</v>
      </c>
      <c r="D20" s="11">
        <f>[1]CO2!$S20</f>
        <v>315.14400000000001</v>
      </c>
      <c r="E20" s="10">
        <f>[1]N2O!$D19</f>
        <v>1952.9</v>
      </c>
      <c r="F20" s="11">
        <f>[1]N2O!$S19</f>
        <v>287.53300000000002</v>
      </c>
    </row>
    <row r="21" spans="1:6" x14ac:dyDescent="0.3">
      <c r="A21" s="10">
        <f>[1]CH4!$D20</f>
        <v>1958</v>
      </c>
      <c r="B21" s="11">
        <f>[1]CH4!$S20</f>
        <v>1189.568</v>
      </c>
      <c r="C21" s="10">
        <f>[1]CO2!$D21</f>
        <v>1957</v>
      </c>
      <c r="D21" s="11">
        <f>[1]CO2!$S21</f>
        <v>314.38</v>
      </c>
      <c r="E21" s="10">
        <f>[1]N2O!$D20</f>
        <v>1950</v>
      </c>
      <c r="F21" s="11">
        <f>[1]N2O!$S20</f>
        <v>287.923</v>
      </c>
    </row>
    <row r="22" spans="1:6" x14ac:dyDescent="0.3">
      <c r="A22" s="10">
        <f>[1]CH4!$D21</f>
        <v>1958</v>
      </c>
      <c r="B22" s="11">
        <f>[1]CH4!$S21</f>
        <v>1204.1590000000001</v>
      </c>
      <c r="C22" s="10">
        <f>[1]CO2!$D22</f>
        <v>1957</v>
      </c>
      <c r="D22" s="11">
        <f>[1]CO2!$S22</f>
        <v>314.51100000000002</v>
      </c>
      <c r="E22" s="10">
        <f>[1]N2O!$D21</f>
        <v>1948.93</v>
      </c>
      <c r="F22" s="11">
        <f>[1]N2O!$S21</f>
        <v>288.63799999999998</v>
      </c>
    </row>
    <row r="23" spans="1:6" x14ac:dyDescent="0.3">
      <c r="A23" s="10">
        <f>[1]CH4!$D22</f>
        <v>1956.33</v>
      </c>
      <c r="B23" s="11">
        <f>[1]CH4!$S22</f>
        <v>1177.2059999999999</v>
      </c>
      <c r="C23" s="10">
        <f>[1]CO2!$D23</f>
        <v>1955.33</v>
      </c>
      <c r="D23" s="11">
        <f>[1]CO2!$S23</f>
        <v>314.60399999999998</v>
      </c>
      <c r="E23" s="10">
        <f>[1]N2O!$D22</f>
        <v>1948.07</v>
      </c>
      <c r="F23" s="11">
        <f>[1]N2O!$S22</f>
        <v>288.66399999999999</v>
      </c>
    </row>
    <row r="24" spans="1:6" x14ac:dyDescent="0.3">
      <c r="A24" s="10">
        <f>[1]CH4!$D23</f>
        <v>1956.33</v>
      </c>
      <c r="B24" s="11">
        <f>[1]CH4!$S23</f>
        <v>1185.855</v>
      </c>
      <c r="C24" s="10">
        <f>[1]CO2!$D24</f>
        <v>1955.33</v>
      </c>
      <c r="D24" s="11">
        <f>[1]CO2!$S24</f>
        <v>313.74799999999999</v>
      </c>
      <c r="E24" s="10">
        <f>[1]N2O!$D23</f>
        <v>1945.18</v>
      </c>
      <c r="F24" s="11">
        <f>[1]N2O!$S23</f>
        <v>288.72000000000003</v>
      </c>
    </row>
    <row r="25" spans="1:6" x14ac:dyDescent="0.3">
      <c r="A25" s="10">
        <f>[1]CH4!$D24</f>
        <v>1956</v>
      </c>
      <c r="B25" s="11">
        <f>[1]CH4!$S24</f>
        <v>1177.903</v>
      </c>
      <c r="C25" s="10">
        <f>[1]CO2!$D25</f>
        <v>1955</v>
      </c>
      <c r="D25" s="11">
        <f>[1]CO2!$S25</f>
        <v>314.88400000000001</v>
      </c>
      <c r="E25" s="10">
        <f>[1]N2O!$D24</f>
        <v>1944.91</v>
      </c>
      <c r="F25" s="11">
        <f>[1]N2O!$S24</f>
        <v>287.935</v>
      </c>
    </row>
    <row r="26" spans="1:6" x14ac:dyDescent="0.3">
      <c r="A26" s="10">
        <f>[1]CH4!$D25</f>
        <v>1956</v>
      </c>
      <c r="B26" s="11">
        <f>[1]CH4!$S25</f>
        <v>1166.327</v>
      </c>
      <c r="C26" s="10">
        <f>[1]CO2!$D26</f>
        <v>1955</v>
      </c>
      <c r="D26" s="11">
        <f>[1]CO2!$S26</f>
        <v>314.661</v>
      </c>
      <c r="E26" s="10">
        <f>[1]N2O!$D25</f>
        <v>1940.92</v>
      </c>
      <c r="F26" s="11">
        <f>[1]N2O!$S25</f>
        <v>285.31299999999999</v>
      </c>
    </row>
    <row r="27" spans="1:6" x14ac:dyDescent="0.3">
      <c r="A27" s="10">
        <f>[1]CH4!$D26</f>
        <v>1955.13</v>
      </c>
      <c r="B27" s="11">
        <f>[1]CH4!$S26</f>
        <v>1156.867</v>
      </c>
      <c r="C27" s="10">
        <f>[1]CO2!$D27</f>
        <v>1954.13</v>
      </c>
      <c r="D27" s="11">
        <f>[1]CO2!$S27</f>
        <v>313.12599999999998</v>
      </c>
      <c r="E27" s="10">
        <f>[1]N2O!$D26</f>
        <v>1939.36</v>
      </c>
      <c r="F27" s="11">
        <f>[1]N2O!$S26</f>
        <v>286.899</v>
      </c>
    </row>
    <row r="28" spans="1:6" x14ac:dyDescent="0.3">
      <c r="A28" s="10">
        <f>[1]CH4!$D27</f>
        <v>1955.07</v>
      </c>
      <c r="B28" s="11">
        <f>[1]CH4!$S27</f>
        <v>1152.9690000000001</v>
      </c>
      <c r="C28" s="10">
        <f>[1]CO2!$D28</f>
        <v>1954.07</v>
      </c>
      <c r="D28" s="11">
        <f>[1]CO2!$S28</f>
        <v>312.673</v>
      </c>
      <c r="E28" s="10">
        <f>[1]N2O!$D27</f>
        <v>1939.36</v>
      </c>
      <c r="F28" s="11">
        <f>[1]N2O!$S27</f>
        <v>287.96899999999999</v>
      </c>
    </row>
    <row r="29" spans="1:6" x14ac:dyDescent="0.3">
      <c r="A29" s="10">
        <f>[1]CH4!$D28</f>
        <v>1954.93</v>
      </c>
      <c r="B29" s="11">
        <f>[1]CH4!$S28</f>
        <v>1159.3119999999999</v>
      </c>
      <c r="C29" s="10">
        <f>[1]CO2!$D29</f>
        <v>1953.93</v>
      </c>
      <c r="D29" s="11">
        <f>[1]CO2!$S29</f>
        <v>311.59100000000001</v>
      </c>
      <c r="E29" s="10">
        <f>[1]N2O!$D28</f>
        <v>1939.09</v>
      </c>
      <c r="F29" s="11">
        <f>[1]N2O!$S28</f>
        <v>285.31799999999998</v>
      </c>
    </row>
    <row r="30" spans="1:6" x14ac:dyDescent="0.3">
      <c r="A30" s="10">
        <f>[1]CH4!$D29</f>
        <v>1954.93</v>
      </c>
      <c r="B30" s="11">
        <f>[1]CH4!$S29</f>
        <v>1154.086</v>
      </c>
      <c r="C30" s="10">
        <f>[1]CO2!$D30</f>
        <v>1953.93</v>
      </c>
      <c r="D30" s="11">
        <f>[1]CO2!$S30</f>
        <v>312.81599999999997</v>
      </c>
      <c r="E30" s="10">
        <f>[1]N2O!$D29</f>
        <v>1938</v>
      </c>
      <c r="F30" s="11">
        <f>[1]N2O!$S29</f>
        <v>285.661</v>
      </c>
    </row>
    <row r="31" spans="1:6" x14ac:dyDescent="0.3">
      <c r="A31" s="10">
        <f>[1]CH4!$D30</f>
        <v>1953.9</v>
      </c>
      <c r="B31" s="11">
        <f>[1]CH4!$S30</f>
        <v>1152.758</v>
      </c>
      <c r="C31" s="10">
        <f>[1]CO2!$D31</f>
        <v>1952.9</v>
      </c>
      <c r="D31" s="11">
        <f>[1]CO2!$S31</f>
        <v>312.32799999999997</v>
      </c>
      <c r="E31" s="10">
        <f>[1]N2O!$D30</f>
        <v>1937.08</v>
      </c>
      <c r="F31" s="11">
        <f>[1]N2O!$S30</f>
        <v>284.95600000000002</v>
      </c>
    </row>
    <row r="32" spans="1:6" x14ac:dyDescent="0.3">
      <c r="A32" s="10">
        <f>[1]CH4!$D31</f>
        <v>1951</v>
      </c>
      <c r="B32" s="11">
        <f>[1]CH4!$S31</f>
        <v>1121.201</v>
      </c>
      <c r="C32" s="10">
        <f>[1]CO2!$D32</f>
        <v>1950</v>
      </c>
      <c r="D32" s="11">
        <f>[1]CO2!$S32</f>
        <v>313.71800000000002</v>
      </c>
      <c r="E32" s="10">
        <f>[1]N2O!$D31</f>
        <v>1937.08</v>
      </c>
      <c r="F32" s="11">
        <f>[1]N2O!$S31</f>
        <v>285.82900000000001</v>
      </c>
    </row>
    <row r="33" spans="1:6" x14ac:dyDescent="0.3">
      <c r="A33" s="10">
        <f>[1]CH4!$D32</f>
        <v>1949.93</v>
      </c>
      <c r="B33" s="11">
        <f>[1]CH4!$S32</f>
        <v>1097.4179999999999</v>
      </c>
      <c r="C33" s="10">
        <f>[1]CO2!$D33</f>
        <v>1948.93</v>
      </c>
      <c r="D33" s="11">
        <f>[1]CO2!$S33</f>
        <v>309.83699999999999</v>
      </c>
      <c r="E33" s="10">
        <f>[1]N2O!$D32</f>
        <v>1936</v>
      </c>
      <c r="F33" s="11">
        <f>[1]N2O!$S32</f>
        <v>284.77999999999997</v>
      </c>
    </row>
    <row r="34" spans="1:6" x14ac:dyDescent="0.3">
      <c r="A34" s="10">
        <f>[1]CH4!$D33</f>
        <v>1949.07</v>
      </c>
      <c r="B34" s="11">
        <f>[1]CH4!$S33</f>
        <v>1112.124</v>
      </c>
      <c r="C34" s="10">
        <f>[1]CO2!$D34</f>
        <v>1948.07</v>
      </c>
      <c r="D34" s="11">
        <f>[1]CO2!$S34</f>
        <v>311.62799999999999</v>
      </c>
      <c r="E34" s="10">
        <f>[1]N2O!$D33</f>
        <v>1935.2</v>
      </c>
      <c r="F34" s="11">
        <f>[1]N2O!$S33</f>
        <v>287.69</v>
      </c>
    </row>
    <row r="35" spans="1:6" x14ac:dyDescent="0.3">
      <c r="A35" s="10">
        <f>[1]CH4!$D34</f>
        <v>1948</v>
      </c>
      <c r="B35" s="11">
        <f>[1]CH4!$S34</f>
        <v>1106.069</v>
      </c>
      <c r="C35" s="10">
        <f>[1]CO2!$D35</f>
        <v>1947</v>
      </c>
      <c r="D35" s="11">
        <f>[1]CO2!$S35</f>
        <v>313.27</v>
      </c>
      <c r="E35" s="10">
        <f>[1]N2O!$D34</f>
        <v>1932.7</v>
      </c>
      <c r="F35" s="11">
        <f>[1]N2O!$S34</f>
        <v>285.62400000000002</v>
      </c>
    </row>
    <row r="36" spans="1:6" x14ac:dyDescent="0.3">
      <c r="A36" s="10">
        <f>[1]CH4!$D35</f>
        <v>1948</v>
      </c>
      <c r="B36" s="11">
        <f>[1]CH4!$S35</f>
        <v>1112.0730000000001</v>
      </c>
      <c r="C36" s="10">
        <f>[1]CO2!$D36</f>
        <v>1947</v>
      </c>
      <c r="D36" s="11">
        <f>[1]CO2!$S36</f>
        <v>312.57900000000001</v>
      </c>
      <c r="E36" s="10">
        <f>[1]N2O!$D35</f>
        <v>1931.15</v>
      </c>
      <c r="F36" s="11">
        <f>[1]N2O!$S35</f>
        <v>284.51100000000002</v>
      </c>
    </row>
    <row r="37" spans="1:6" x14ac:dyDescent="0.3">
      <c r="A37" s="10">
        <f>[1]CH4!$D36</f>
        <v>1947.08</v>
      </c>
      <c r="B37" s="11">
        <f>[1]CH4!$S36</f>
        <v>1096.713</v>
      </c>
      <c r="C37" s="10">
        <f>[1]CO2!$D37</f>
        <v>1946.08</v>
      </c>
      <c r="D37" s="11">
        <f>[1]CO2!$S37</f>
        <v>312.61799999999999</v>
      </c>
      <c r="E37" s="10">
        <f>[1]N2O!$D36</f>
        <v>1931.15</v>
      </c>
      <c r="F37" s="11">
        <f>[1]N2O!$S36</f>
        <v>285.64400000000001</v>
      </c>
    </row>
    <row r="38" spans="1:6" x14ac:dyDescent="0.3">
      <c r="A38" s="10">
        <f>[1]CH4!$D37</f>
        <v>1946.18</v>
      </c>
      <c r="B38" s="11">
        <f>[1]CH4!$S37</f>
        <v>1123.374</v>
      </c>
      <c r="C38" s="10">
        <f>[1]CO2!$D38</f>
        <v>1945.18</v>
      </c>
      <c r="D38" s="11">
        <f>[1]CO2!$S38</f>
        <v>311.42099999999999</v>
      </c>
      <c r="E38" s="10">
        <f>[1]N2O!$D37</f>
        <v>1929.06</v>
      </c>
      <c r="F38" s="11">
        <f>[1]N2O!$S37</f>
        <v>289.34899999999999</v>
      </c>
    </row>
    <row r="39" spans="1:6" x14ac:dyDescent="0.3">
      <c r="A39" s="10">
        <f>[1]CH4!$D38</f>
        <v>1945.91</v>
      </c>
      <c r="B39" s="11">
        <f>[1]CH4!$S38</f>
        <v>1094.296</v>
      </c>
      <c r="C39" s="10">
        <f>[1]CO2!$D39</f>
        <v>1944.91</v>
      </c>
      <c r="D39" s="11">
        <f>[1]CO2!$S39</f>
        <v>310.22199999999998</v>
      </c>
      <c r="E39" s="10">
        <f>[1]N2O!$D38</f>
        <v>1926.11</v>
      </c>
      <c r="F39" s="11">
        <f>[1]N2O!$S38</f>
        <v>284.14999999999998</v>
      </c>
    </row>
    <row r="40" spans="1:6" x14ac:dyDescent="0.3">
      <c r="A40" s="10">
        <f>[1]CH4!$D39</f>
        <v>1944.92</v>
      </c>
      <c r="B40" s="11">
        <f>[1]CH4!$S39</f>
        <v>1090.4739999999999</v>
      </c>
      <c r="C40" s="10">
        <f>[1]CO2!$D40</f>
        <v>1943.92</v>
      </c>
      <c r="D40" s="11">
        <f>[1]CO2!$S40</f>
        <v>312.42500000000001</v>
      </c>
      <c r="E40" s="10">
        <f>[1]N2O!$D39</f>
        <v>1926.11</v>
      </c>
      <c r="F40" s="11">
        <f>[1]N2O!$S39</f>
        <v>291.92500000000001</v>
      </c>
    </row>
    <row r="41" spans="1:6" x14ac:dyDescent="0.3">
      <c r="A41" s="10">
        <f>[1]CH4!$D40</f>
        <v>1943.55</v>
      </c>
      <c r="B41" s="11">
        <f>[1]CH4!$S40</f>
        <v>1090.0229999999999</v>
      </c>
      <c r="C41" s="10">
        <f>[1]CO2!$D41</f>
        <v>1942.55</v>
      </c>
      <c r="D41" s="11">
        <f>[1]CO2!$S41</f>
        <v>311.67500000000001</v>
      </c>
      <c r="E41" s="10">
        <f>[1]N2O!$D40</f>
        <v>1925.7</v>
      </c>
      <c r="F41" s="11">
        <f>[1]N2O!$S40</f>
        <v>282.72800000000001</v>
      </c>
    </row>
    <row r="42" spans="1:6" x14ac:dyDescent="0.3">
      <c r="A42" s="10">
        <f>[1]CH4!$D41</f>
        <v>1943.55</v>
      </c>
      <c r="B42" s="11">
        <f>[1]CH4!$S41</f>
        <v>1089.904</v>
      </c>
      <c r="C42" s="10">
        <f>[1]CO2!$D42</f>
        <v>1942.55</v>
      </c>
      <c r="D42" s="11">
        <f>[1]CO2!$S42</f>
        <v>312.19600000000003</v>
      </c>
      <c r="E42" s="10">
        <f>[1]N2O!$D41</f>
        <v>1925.7</v>
      </c>
      <c r="F42" s="11">
        <f>[1]N2O!$S41</f>
        <v>283.98700000000002</v>
      </c>
    </row>
    <row r="43" spans="1:6" x14ac:dyDescent="0.3">
      <c r="A43" s="10">
        <f>[1]CH4!$D42</f>
        <v>1943.09</v>
      </c>
      <c r="B43" s="11">
        <f>[1]CH4!$S42</f>
        <v>1083.7619999999999</v>
      </c>
      <c r="C43" s="10">
        <f>[1]CO2!$D43</f>
        <v>1942.09</v>
      </c>
      <c r="D43" s="11">
        <f>[1]CO2!$S43</f>
        <v>312.79500000000002</v>
      </c>
      <c r="E43" s="10">
        <f>[1]N2O!$D42</f>
        <v>1925.7</v>
      </c>
      <c r="F43" s="11">
        <f>[1]N2O!$S42</f>
        <v>285.00200000000001</v>
      </c>
    </row>
    <row r="44" spans="1:6" x14ac:dyDescent="0.3">
      <c r="A44" s="10">
        <f>[1]CH4!$D43</f>
        <v>1943.09</v>
      </c>
      <c r="B44" s="11">
        <f>[1]CH4!$S43</f>
        <v>1085.3969999999999</v>
      </c>
      <c r="C44" s="10">
        <f>[1]CO2!$D44</f>
        <v>1942.09</v>
      </c>
      <c r="D44" s="11">
        <f>[1]CO2!$S44</f>
        <v>312.108</v>
      </c>
      <c r="E44" s="10">
        <f>[1]N2O!$D43</f>
        <v>1925.2</v>
      </c>
      <c r="F44" s="11">
        <f>[1]N2O!$S43</f>
        <v>283.834</v>
      </c>
    </row>
    <row r="45" spans="1:6" x14ac:dyDescent="0.3">
      <c r="A45" s="10">
        <f>[1]CH4!$D44</f>
        <v>1942</v>
      </c>
      <c r="B45" s="11">
        <f>[1]CH4!$S44</f>
        <v>1087.1199999999999</v>
      </c>
      <c r="C45" s="10">
        <f>[1]CO2!$D45</f>
        <v>1941</v>
      </c>
      <c r="D45" s="11">
        <f>[1]CO2!$S45</f>
        <v>311.86</v>
      </c>
      <c r="E45" s="10">
        <f>[1]N2O!$D44</f>
        <v>1925.2</v>
      </c>
      <c r="F45" s="11">
        <f>[1]N2O!$S44</f>
        <v>283.35399999999998</v>
      </c>
    </row>
    <row r="46" spans="1:6" x14ac:dyDescent="0.3">
      <c r="A46" s="10">
        <f>[1]CH4!$D45</f>
        <v>1941.92</v>
      </c>
      <c r="B46" s="11">
        <f>[1]CH4!$S45</f>
        <v>1080.3130000000001</v>
      </c>
      <c r="C46" s="10">
        <f>[1]CO2!$D46</f>
        <v>1940.92</v>
      </c>
      <c r="D46" s="11">
        <f>[1]CO2!$S46</f>
        <v>307.61</v>
      </c>
      <c r="E46" s="10">
        <f>[1]N2O!$D45</f>
        <v>1923.13</v>
      </c>
      <c r="F46" s="11">
        <f>[1]N2O!$S45</f>
        <v>287.74</v>
      </c>
    </row>
    <row r="47" spans="1:6" x14ac:dyDescent="0.3">
      <c r="A47" s="10">
        <f>[1]CH4!$D46</f>
        <v>1940.36</v>
      </c>
      <c r="B47" s="11">
        <f>[1]CH4!$S46</f>
        <v>1071.8130000000001</v>
      </c>
      <c r="C47" s="10">
        <f>[1]CO2!$D47</f>
        <v>1939.36</v>
      </c>
      <c r="D47" s="11">
        <f>[1]CO2!$S47</f>
        <v>311.02100000000002</v>
      </c>
      <c r="E47" s="10">
        <f>[1]N2O!$D46</f>
        <v>1923.13</v>
      </c>
      <c r="F47" s="11">
        <f>[1]N2O!$S46</f>
        <v>287.30399999999997</v>
      </c>
    </row>
    <row r="48" spans="1:6" x14ac:dyDescent="0.3">
      <c r="A48" s="10">
        <f>[1]CH4!$D47</f>
        <v>1940.36</v>
      </c>
      <c r="B48" s="11">
        <f>[1]CH4!$S47</f>
        <v>1073.2270000000001</v>
      </c>
      <c r="C48" s="10">
        <f>[1]CO2!$D48</f>
        <v>1939.36</v>
      </c>
      <c r="D48" s="11">
        <f>[1]CO2!$S48</f>
        <v>311.375</v>
      </c>
      <c r="E48" s="10">
        <f>[1]N2O!$D47</f>
        <v>1923.13</v>
      </c>
      <c r="F48" s="11">
        <f>[1]N2O!$S47</f>
        <v>283.43299999999999</v>
      </c>
    </row>
    <row r="49" spans="1:6" x14ac:dyDescent="0.3">
      <c r="A49" s="10">
        <f>[1]CH4!$D48</f>
        <v>1940.09</v>
      </c>
      <c r="B49" s="11">
        <f>[1]CH4!$S48</f>
        <v>1084.684</v>
      </c>
      <c r="C49" s="10">
        <f>[1]CO2!$D49</f>
        <v>1939.09</v>
      </c>
      <c r="D49" s="11">
        <f>[1]CO2!$S49</f>
        <v>312.26</v>
      </c>
      <c r="E49" s="10">
        <f>[1]N2O!$D48</f>
        <v>1918.33</v>
      </c>
      <c r="F49" s="11">
        <f>[1]N2O!$S48</f>
        <v>284.39499999999998</v>
      </c>
    </row>
    <row r="50" spans="1:6" x14ac:dyDescent="0.3">
      <c r="A50" s="10">
        <f>[1]CH4!$D49</f>
        <v>1940.09</v>
      </c>
      <c r="B50" s="11">
        <f>[1]CH4!$S49</f>
        <v>1071.9349999999999</v>
      </c>
      <c r="C50" s="10">
        <f>[1]CO2!$D50</f>
        <v>1939.09</v>
      </c>
      <c r="D50" s="11">
        <f>[1]CO2!$S50</f>
        <v>308.42200000000003</v>
      </c>
      <c r="E50" s="10">
        <f>[1]N2O!$D49</f>
        <v>1918.33</v>
      </c>
      <c r="F50" s="11">
        <f>[1]N2O!$S49</f>
        <v>288.69099999999997</v>
      </c>
    </row>
    <row r="51" spans="1:6" x14ac:dyDescent="0.3">
      <c r="A51" s="10">
        <f>[1]CH4!$D50</f>
        <v>1939.92</v>
      </c>
      <c r="B51" s="11">
        <f>[1]CH4!$S50</f>
        <v>1070.117</v>
      </c>
      <c r="C51" s="10">
        <f>[1]CO2!$D51</f>
        <v>1938.92</v>
      </c>
      <c r="D51" s="11">
        <f>[1]CO2!$S51</f>
        <v>307.81400000000002</v>
      </c>
      <c r="E51" s="10">
        <f>[1]N2O!$D50</f>
        <v>1916.1</v>
      </c>
      <c r="F51" s="11">
        <f>[1]N2O!$S50</f>
        <v>282.59699999999998</v>
      </c>
    </row>
    <row r="52" spans="1:6" x14ac:dyDescent="0.3">
      <c r="A52" s="10">
        <f>[1]CH4!$D51</f>
        <v>1939</v>
      </c>
      <c r="B52" s="11">
        <f>[1]CH4!$S51</f>
        <v>1073.2360000000001</v>
      </c>
      <c r="C52" s="10">
        <f>[1]CO2!$D52</f>
        <v>1938</v>
      </c>
      <c r="D52" s="11">
        <f>[1]CO2!$S52</f>
        <v>310.71600000000001</v>
      </c>
      <c r="E52" s="10">
        <f>[1]N2O!$D51</f>
        <v>1912.6</v>
      </c>
      <c r="F52" s="11">
        <f>[1]N2O!$S51</f>
        <v>282.93700000000001</v>
      </c>
    </row>
    <row r="53" spans="1:6" x14ac:dyDescent="0.3">
      <c r="A53" s="10">
        <f>[1]CH4!$D52</f>
        <v>1939</v>
      </c>
      <c r="B53" s="11">
        <f>[1]CH4!$S52</f>
        <v>1071.902</v>
      </c>
      <c r="C53" s="10">
        <f>[1]CO2!$D53</f>
        <v>1938</v>
      </c>
      <c r="D53" s="11">
        <f>[1]CO2!$S53</f>
        <v>312.44499999999999</v>
      </c>
      <c r="E53" s="10">
        <f>[1]N2O!$D52</f>
        <v>1911.42</v>
      </c>
      <c r="F53" s="11">
        <f>[1]N2O!$S52</f>
        <v>285.392</v>
      </c>
    </row>
    <row r="54" spans="1:6" x14ac:dyDescent="0.3">
      <c r="A54" s="10">
        <f>[1]CH4!$D53</f>
        <v>1938.08</v>
      </c>
      <c r="B54" s="11">
        <f>[1]CH4!$S53</f>
        <v>1060.6880000000001</v>
      </c>
      <c r="C54" s="10">
        <f>[1]CO2!$D54</f>
        <v>1937.08</v>
      </c>
      <c r="D54" s="11">
        <f>[1]CO2!$S54</f>
        <v>306.92700000000002</v>
      </c>
      <c r="E54" s="10">
        <f>[1]N2O!$D53</f>
        <v>1910.92</v>
      </c>
      <c r="F54" s="11">
        <f>[1]N2O!$S53</f>
        <v>281.30799999999999</v>
      </c>
    </row>
    <row r="55" spans="1:6" x14ac:dyDescent="0.3">
      <c r="A55" s="10">
        <f>[1]CH4!$D54</f>
        <v>1938.08</v>
      </c>
      <c r="B55" s="11">
        <f>[1]CH4!$S54</f>
        <v>1060.5840000000001</v>
      </c>
      <c r="C55" s="10">
        <f>[1]CO2!$D55</f>
        <v>1937.08</v>
      </c>
      <c r="D55" s="11">
        <f>[1]CO2!$S55</f>
        <v>307.63099999999997</v>
      </c>
      <c r="E55" s="10">
        <f>[1]N2O!$D54</f>
        <v>1910.15</v>
      </c>
      <c r="F55" s="11">
        <f>[1]N2O!$S54</f>
        <v>278.25099999999998</v>
      </c>
    </row>
    <row r="56" spans="1:6" x14ac:dyDescent="0.3">
      <c r="A56" s="10">
        <f>[1]CH4!$D55</f>
        <v>1937.15</v>
      </c>
      <c r="B56" s="11">
        <f>[1]CH4!$S55</f>
        <v>1070.432</v>
      </c>
      <c r="C56" s="10">
        <f>[1]CO2!$D56</f>
        <v>1936.15</v>
      </c>
      <c r="D56" s="11">
        <f>[1]CO2!$S56</f>
        <v>309.49099999999999</v>
      </c>
      <c r="E56" s="10">
        <f>[1]N2O!$D55</f>
        <v>1901.89</v>
      </c>
      <c r="F56" s="11">
        <f>[1]N2O!$S55</f>
        <v>278.71699999999998</v>
      </c>
    </row>
    <row r="57" spans="1:6" x14ac:dyDescent="0.3">
      <c r="A57" s="10">
        <f>[1]CH4!$D56</f>
        <v>1937.15</v>
      </c>
      <c r="B57" s="11">
        <f>[1]CH4!$S56</f>
        <v>1062.0309999999999</v>
      </c>
      <c r="C57" s="10">
        <f>[1]CO2!$D57</f>
        <v>1936.15</v>
      </c>
      <c r="D57" s="11">
        <f>[1]CO2!$S57</f>
        <v>309.12900000000002</v>
      </c>
      <c r="E57" s="10">
        <f>[1]N2O!$D56</f>
        <v>1900.27</v>
      </c>
      <c r="F57" s="11">
        <f>[1]N2O!$S56</f>
        <v>278.738</v>
      </c>
    </row>
    <row r="58" spans="1:6" x14ac:dyDescent="0.3">
      <c r="A58" s="10">
        <f>[1]CH4!$D57</f>
        <v>1937</v>
      </c>
      <c r="B58" s="11">
        <f>[1]CH4!$S57</f>
        <v>1056.787</v>
      </c>
      <c r="C58" s="10">
        <f>[1]CO2!$D58</f>
        <v>1936</v>
      </c>
      <c r="D58" s="11">
        <f>[1]CO2!$S58</f>
        <v>307.13</v>
      </c>
      <c r="E58" s="10">
        <f>[1]N2O!$D57</f>
        <v>1899</v>
      </c>
      <c r="F58" s="11">
        <f>[1]N2O!$S57</f>
        <v>277.31</v>
      </c>
    </row>
    <row r="59" spans="1:6" x14ac:dyDescent="0.3">
      <c r="A59" s="10">
        <f>[1]CH4!$D58</f>
        <v>1935</v>
      </c>
      <c r="B59" s="11">
        <f>[1]CH4!$S58</f>
        <v>1049.1300000000001</v>
      </c>
      <c r="C59" s="10">
        <f>[1]CO2!$D59</f>
        <v>1935.2</v>
      </c>
      <c r="D59" s="11">
        <f>[1]CO2!$S59</f>
        <v>306.19299999999998</v>
      </c>
      <c r="E59" s="10">
        <f>[1]N2O!$D58</f>
        <v>1897.08</v>
      </c>
      <c r="F59" s="11">
        <f>[1]N2O!$S58</f>
        <v>274.58300000000003</v>
      </c>
    </row>
    <row r="60" spans="1:6" x14ac:dyDescent="0.3">
      <c r="A60" s="10">
        <f>[1]CH4!$D59</f>
        <v>1935</v>
      </c>
      <c r="B60" s="11">
        <f>[1]CH4!$S59</f>
        <v>1049.52</v>
      </c>
      <c r="C60" s="10">
        <f>[1]CO2!$D60</f>
        <v>1934</v>
      </c>
      <c r="D60" s="11">
        <f>[1]CO2!$S60</f>
        <v>306.72300000000001</v>
      </c>
      <c r="E60" s="10">
        <f>[1]N2O!$D59</f>
        <v>1896.9</v>
      </c>
      <c r="F60" s="11">
        <f>[1]N2O!$S59</f>
        <v>276.72000000000003</v>
      </c>
    </row>
    <row r="61" spans="1:6" x14ac:dyDescent="0.3">
      <c r="A61" s="10">
        <f>[1]CH4!$D60</f>
        <v>1935</v>
      </c>
      <c r="B61" s="11">
        <f>[1]CH4!$S60</f>
        <v>1054.3030000000001</v>
      </c>
      <c r="C61" s="10">
        <f>[1]CO2!$D61</f>
        <v>1934</v>
      </c>
      <c r="D61" s="11">
        <f>[1]CO2!$S61</f>
        <v>306.59500000000003</v>
      </c>
      <c r="E61" s="10">
        <f>[1]N2O!$D60</f>
        <v>1896.9</v>
      </c>
      <c r="F61" s="11">
        <f>[1]N2O!$S60</f>
        <v>276.24200000000002</v>
      </c>
    </row>
    <row r="62" spans="1:6" x14ac:dyDescent="0.3">
      <c r="A62" s="10">
        <f>[1]CH4!$D61</f>
        <v>1934.23</v>
      </c>
      <c r="B62" s="11">
        <f>[1]CH4!$S61</f>
        <v>1044.9960000000001</v>
      </c>
      <c r="C62" s="10">
        <f>[1]CO2!$D62</f>
        <v>1934</v>
      </c>
      <c r="D62" s="11">
        <f>[1]CO2!$S62</f>
        <v>307.80099999999999</v>
      </c>
      <c r="E62" s="10">
        <f>[1]N2O!$D61</f>
        <v>1896.7</v>
      </c>
      <c r="F62" s="11">
        <f>[1]N2O!$S61</f>
        <v>274.34899999999999</v>
      </c>
    </row>
    <row r="63" spans="1:6" x14ac:dyDescent="0.3">
      <c r="A63" s="10">
        <f>[1]CH4!$D62</f>
        <v>1934</v>
      </c>
      <c r="B63" s="11">
        <f>[1]CH4!$S62</f>
        <v>1042.2660000000001</v>
      </c>
      <c r="C63" s="10">
        <f>[1]CO2!$D63</f>
        <v>1933.23</v>
      </c>
      <c r="D63" s="11">
        <f>[1]CO2!$S63</f>
        <v>305.81700000000001</v>
      </c>
      <c r="E63" s="10">
        <f>[1]N2O!$D62</f>
        <v>1894</v>
      </c>
      <c r="F63" s="11">
        <f>[1]N2O!$S62</f>
        <v>280.99599999999998</v>
      </c>
    </row>
    <row r="64" spans="1:6" x14ac:dyDescent="0.3">
      <c r="A64" s="10">
        <f>[1]CH4!$D63</f>
        <v>1933.7</v>
      </c>
      <c r="B64" s="11">
        <f>[1]CH4!$S63</f>
        <v>1034.953</v>
      </c>
      <c r="C64" s="10">
        <f>[1]CO2!$D64</f>
        <v>1933</v>
      </c>
      <c r="D64" s="11">
        <f>[1]CO2!$S64</f>
        <v>308.34100000000001</v>
      </c>
      <c r="E64" s="10">
        <f>[1]N2O!$D63</f>
        <v>1892.75</v>
      </c>
      <c r="F64" s="11">
        <f>[1]N2O!$S63</f>
        <v>278.21100000000001</v>
      </c>
    </row>
    <row r="65" spans="1:6" x14ac:dyDescent="0.3">
      <c r="A65" s="10">
        <f>[1]CH4!$D64</f>
        <v>1932.15</v>
      </c>
      <c r="B65" s="11">
        <f>[1]CH4!$S64</f>
        <v>1037.4069999999999</v>
      </c>
      <c r="C65" s="10">
        <f>[1]CO2!$D65</f>
        <v>1932.7</v>
      </c>
      <c r="D65" s="11">
        <f>[1]CO2!$S65</f>
        <v>308.24099999999999</v>
      </c>
      <c r="E65" s="10">
        <f>[1]N2O!$D64</f>
        <v>1890</v>
      </c>
      <c r="F65" s="11">
        <f>[1]N2O!$S64</f>
        <v>274.44799999999998</v>
      </c>
    </row>
    <row r="66" spans="1:6" x14ac:dyDescent="0.3">
      <c r="A66" s="10">
        <f>[1]CH4!$D65</f>
        <v>1932.15</v>
      </c>
      <c r="B66" s="11">
        <f>[1]CH4!$S65</f>
        <v>1034.123</v>
      </c>
      <c r="C66" s="10">
        <f>[1]CO2!$D66</f>
        <v>1931.15</v>
      </c>
      <c r="D66" s="11">
        <f>[1]CO2!$S66</f>
        <v>305.58999999999997</v>
      </c>
      <c r="E66" s="10">
        <f>[1]N2O!$D65</f>
        <v>1887.54</v>
      </c>
      <c r="F66" s="11">
        <f>[1]N2O!$S65</f>
        <v>279.012</v>
      </c>
    </row>
    <row r="67" spans="1:6" x14ac:dyDescent="0.3">
      <c r="A67" s="10">
        <f>[1]CH4!$D66</f>
        <v>1931.11</v>
      </c>
      <c r="B67" s="11">
        <f>[1]CH4!$S66</f>
        <v>1027.925</v>
      </c>
      <c r="C67" s="10">
        <f>[1]CO2!$D67</f>
        <v>1931.15</v>
      </c>
      <c r="D67" s="11">
        <f>[1]CO2!$S67</f>
        <v>305.63600000000002</v>
      </c>
      <c r="E67" s="10">
        <f>[1]N2O!$D66</f>
        <v>1886.75</v>
      </c>
      <c r="F67" s="11">
        <f>[1]N2O!$S66</f>
        <v>277.18099999999998</v>
      </c>
    </row>
    <row r="68" spans="1:6" x14ac:dyDescent="0.3">
      <c r="A68" s="10">
        <f>[1]CH4!$D67</f>
        <v>1930.06</v>
      </c>
      <c r="B68" s="11">
        <f>[1]CH4!$S67</f>
        <v>1024.45</v>
      </c>
      <c r="C68" s="10">
        <f>[1]CO2!$D68</f>
        <v>1929.06</v>
      </c>
      <c r="D68" s="11">
        <f>[1]CO2!$S68</f>
        <v>305.84300000000002</v>
      </c>
      <c r="E68" s="10">
        <f>[1]N2O!$D67</f>
        <v>1883.47</v>
      </c>
      <c r="F68" s="11">
        <f>[1]N2O!$S67</f>
        <v>276.495</v>
      </c>
    </row>
    <row r="69" spans="1:6" x14ac:dyDescent="0.3">
      <c r="A69" s="10">
        <f>[1]CH4!$D68</f>
        <v>1929.33</v>
      </c>
      <c r="B69" s="11">
        <f>[1]CH4!$S68</f>
        <v>1027.346</v>
      </c>
      <c r="C69" s="10">
        <f>[1]CO2!$D69</f>
        <v>1928.33</v>
      </c>
      <c r="D69" s="11">
        <f>[1]CO2!$S69</f>
        <v>307.59100000000001</v>
      </c>
      <c r="E69" s="10">
        <f>[1]N2O!$D68</f>
        <v>1880.18</v>
      </c>
      <c r="F69" s="11">
        <f>[1]N2O!$S68</f>
        <v>273.791</v>
      </c>
    </row>
    <row r="70" spans="1:6" x14ac:dyDescent="0.3">
      <c r="A70" s="10">
        <f>[1]CH4!$D69</f>
        <v>1929.33</v>
      </c>
      <c r="B70" s="11">
        <f>[1]CH4!$S69</f>
        <v>1027.5429999999999</v>
      </c>
      <c r="C70" s="10">
        <f>[1]CO2!$D70</f>
        <v>1928.33</v>
      </c>
      <c r="D70" s="11">
        <f>[1]CO2!$S70</f>
        <v>308.39100000000002</v>
      </c>
      <c r="E70" s="10">
        <f>[1]N2O!$D69</f>
        <v>1873</v>
      </c>
      <c r="F70" s="11">
        <f>[1]N2O!$S69</f>
        <v>275.065</v>
      </c>
    </row>
    <row r="71" spans="1:6" x14ac:dyDescent="0.3">
      <c r="A71" s="10">
        <f>[1]CH4!$D70</f>
        <v>1927.11</v>
      </c>
      <c r="B71" s="11">
        <f>[1]CH4!$S70</f>
        <v>1019.8920000000001</v>
      </c>
      <c r="C71" s="10">
        <f>[1]CO2!$D71</f>
        <v>1926.11</v>
      </c>
      <c r="D71" s="11">
        <f>[1]CO2!$S71</f>
        <v>305.50599999999997</v>
      </c>
      <c r="E71" s="10">
        <f>[1]N2O!$D70</f>
        <v>1870.2</v>
      </c>
      <c r="F71" s="11">
        <f>[1]N2O!$S70</f>
        <v>274.45699999999999</v>
      </c>
    </row>
    <row r="72" spans="1:6" x14ac:dyDescent="0.3">
      <c r="A72" s="10">
        <f>[1]CH4!$D71</f>
        <v>1927.11</v>
      </c>
      <c r="B72" s="11">
        <f>[1]CH4!$S71</f>
        <v>997.83500000000004</v>
      </c>
      <c r="C72" s="10">
        <f>[1]CO2!$D72</f>
        <v>1926.11</v>
      </c>
      <c r="D72" s="11">
        <f>[1]CO2!$S72</f>
        <v>306.673</v>
      </c>
      <c r="E72" s="10">
        <f>[1]N2O!$D71</f>
        <v>1869.83</v>
      </c>
      <c r="F72" s="11">
        <f>[1]N2O!$S71</f>
        <v>273.613</v>
      </c>
    </row>
    <row r="73" spans="1:6" x14ac:dyDescent="0.3">
      <c r="A73" s="10">
        <f>[1]CH4!$D72</f>
        <v>1926.9</v>
      </c>
      <c r="B73" s="11">
        <f>[1]CH4!$S72</f>
        <v>991.91</v>
      </c>
      <c r="C73" s="10">
        <f>[1]CO2!$D73</f>
        <v>1925.9</v>
      </c>
      <c r="D73" s="11">
        <f>[1]CO2!$S73</f>
        <v>303.55</v>
      </c>
      <c r="E73" s="10">
        <f>[1]N2O!$D72</f>
        <v>1868.63</v>
      </c>
      <c r="F73" s="11">
        <f>[1]N2O!$S72</f>
        <v>277.15800000000002</v>
      </c>
    </row>
    <row r="74" spans="1:6" x14ac:dyDescent="0.3">
      <c r="A74" s="10">
        <f>[1]CH4!$D73</f>
        <v>1926.2</v>
      </c>
      <c r="B74" s="11">
        <f>[1]CH4!$S73</f>
        <v>1000.337</v>
      </c>
      <c r="C74" s="10">
        <f>[1]CO2!$D74</f>
        <v>1925.7</v>
      </c>
      <c r="D74" s="11">
        <f>[1]CO2!$S74</f>
        <v>302.23399999999998</v>
      </c>
      <c r="E74" s="10">
        <f>[1]N2O!$D73</f>
        <v>1864.47</v>
      </c>
      <c r="F74" s="11">
        <f>[1]N2O!$S73</f>
        <v>274.04199999999997</v>
      </c>
    </row>
    <row r="75" spans="1:6" x14ac:dyDescent="0.3">
      <c r="A75" s="10">
        <f>[1]CH4!$D74</f>
        <v>1926.2</v>
      </c>
      <c r="B75" s="11">
        <f>[1]CH4!$S74</f>
        <v>1002.725</v>
      </c>
      <c r="C75" s="10">
        <f>[1]CO2!$D75</f>
        <v>1925.2</v>
      </c>
      <c r="D75" s="11">
        <f>[1]CO2!$S75</f>
        <v>305.30700000000002</v>
      </c>
      <c r="E75" s="10">
        <f>[1]N2O!$D74</f>
        <v>1863.4</v>
      </c>
      <c r="F75" s="11">
        <f>[1]N2O!$S74</f>
        <v>278.23099999999999</v>
      </c>
    </row>
    <row r="76" spans="1:6" x14ac:dyDescent="0.3">
      <c r="A76" s="10">
        <f>[1]CH4!$D75</f>
        <v>1924.13</v>
      </c>
      <c r="B76" s="11">
        <f>[1]CH4!$S75</f>
        <v>1014.333</v>
      </c>
      <c r="C76" s="10">
        <f>[1]CO2!$D76</f>
        <v>1925.2</v>
      </c>
      <c r="D76" s="11">
        <f>[1]CO2!$S76</f>
        <v>304.60399999999998</v>
      </c>
      <c r="E76" s="10">
        <f>[1]N2O!$D75</f>
        <v>1857.15</v>
      </c>
      <c r="F76" s="11">
        <f>[1]N2O!$S75</f>
        <v>270.86200000000002</v>
      </c>
    </row>
    <row r="77" spans="1:6" x14ac:dyDescent="0.3">
      <c r="A77" s="10">
        <f>[1]CH4!$D76</f>
        <v>1924.13</v>
      </c>
      <c r="B77" s="11">
        <f>[1]CH4!$S76</f>
        <v>1002.99</v>
      </c>
      <c r="C77" s="10">
        <f>[1]CO2!$D77</f>
        <v>1923.13</v>
      </c>
      <c r="D77" s="11">
        <f>[1]CO2!$S77</f>
        <v>307.673</v>
      </c>
      <c r="E77" s="10">
        <f>[1]N2O!$D76</f>
        <v>1855</v>
      </c>
      <c r="F77" s="11">
        <f>[1]N2O!$S76</f>
        <v>271.24</v>
      </c>
    </row>
    <row r="78" spans="1:6" x14ac:dyDescent="0.3">
      <c r="A78" s="10">
        <f>[1]CH4!$D77</f>
        <v>1924.13</v>
      </c>
      <c r="B78" s="11">
        <f>[1]CH4!$S77</f>
        <v>999.702</v>
      </c>
      <c r="C78" s="10">
        <f>[1]CO2!$D78</f>
        <v>1923.13</v>
      </c>
      <c r="D78" s="11">
        <f>[1]CO2!$S78</f>
        <v>306.10599999999999</v>
      </c>
      <c r="E78" s="10">
        <f>[1]N2O!$D77</f>
        <v>1850.5</v>
      </c>
      <c r="F78" s="11">
        <f>[1]N2O!$S77</f>
        <v>271.30799999999999</v>
      </c>
    </row>
    <row r="79" spans="1:6" x14ac:dyDescent="0.3">
      <c r="A79" s="10">
        <f>[1]CH4!$D78</f>
        <v>1924.13</v>
      </c>
      <c r="B79" s="11">
        <f>[1]CH4!$S78</f>
        <v>999.63199999999995</v>
      </c>
      <c r="C79" s="10">
        <f>[1]CO2!$D79</f>
        <v>1923.13</v>
      </c>
      <c r="D79" s="11">
        <f>[1]CO2!$S79</f>
        <v>303.05</v>
      </c>
      <c r="E79" s="10">
        <f>[1]N2O!$D78</f>
        <v>1846</v>
      </c>
      <c r="F79" s="11">
        <f>[1]N2O!$S78</f>
        <v>273.11399999999998</v>
      </c>
    </row>
    <row r="80" spans="1:6" x14ac:dyDescent="0.3">
      <c r="A80" s="10">
        <f>[1]CH4!$D79</f>
        <v>1923.87</v>
      </c>
      <c r="B80" s="11">
        <f>[1]CH4!$S79</f>
        <v>992.68100000000004</v>
      </c>
      <c r="C80" s="10">
        <f>[1]CO2!$D80</f>
        <v>1923.13</v>
      </c>
      <c r="D80" s="11">
        <f>[1]CO2!$S80</f>
        <v>307.798</v>
      </c>
      <c r="E80" s="10">
        <f>[1]N2O!$D79</f>
        <v>1845.13</v>
      </c>
      <c r="F80" s="11">
        <f>[1]N2O!$S79</f>
        <v>270.83300000000003</v>
      </c>
    </row>
    <row r="81" spans="1:6" x14ac:dyDescent="0.3">
      <c r="A81" s="10">
        <f>[1]CH4!$D80</f>
        <v>1921.09</v>
      </c>
      <c r="B81" s="11">
        <f>[1]CH4!$S80</f>
        <v>961.83799999999997</v>
      </c>
      <c r="C81" s="10">
        <f>[1]CO2!$D81</f>
        <v>1922.87</v>
      </c>
      <c r="D81" s="11">
        <f>[1]CO2!$S81</f>
        <v>303.31799999999998</v>
      </c>
      <c r="E81" s="10">
        <f>[1]N2O!$D80</f>
        <v>1845</v>
      </c>
      <c r="F81" s="11">
        <f>[1]N2O!$S80</f>
        <v>270.673</v>
      </c>
    </row>
    <row r="82" spans="1:6" x14ac:dyDescent="0.3">
      <c r="A82" s="10">
        <f>[1]CH4!$D81</f>
        <v>1920.08</v>
      </c>
      <c r="B82" s="11">
        <f>[1]CH4!$S81</f>
        <v>973.27599999999995</v>
      </c>
      <c r="C82" s="10">
        <f>[1]CO2!$D82</f>
        <v>1920.09</v>
      </c>
      <c r="D82" s="11">
        <f>[1]CO2!$S82</f>
        <v>301.74599999999998</v>
      </c>
      <c r="E82" s="10">
        <f>[1]N2O!$D81</f>
        <v>1843.9</v>
      </c>
      <c r="F82" s="11">
        <f>[1]N2O!$S81</f>
        <v>272.596</v>
      </c>
    </row>
    <row r="83" spans="1:6" x14ac:dyDescent="0.3">
      <c r="A83" s="10">
        <f>[1]CH4!$D82</f>
        <v>1919.33</v>
      </c>
      <c r="B83" s="11">
        <f>[1]CH4!$S82</f>
        <v>968.12900000000002</v>
      </c>
      <c r="C83" s="10">
        <f>[1]CO2!$D83</f>
        <v>1919.08</v>
      </c>
      <c r="D83" s="11">
        <f>[1]CO2!$S83</f>
        <v>304.67500000000001</v>
      </c>
      <c r="E83" s="10">
        <f>[1]N2O!$D82</f>
        <v>1843.9</v>
      </c>
      <c r="F83" s="11">
        <f>[1]N2O!$S82</f>
        <v>274.22000000000003</v>
      </c>
    </row>
    <row r="84" spans="1:6" x14ac:dyDescent="0.3">
      <c r="A84" s="10">
        <f>[1]CH4!$D83</f>
        <v>1919.33</v>
      </c>
      <c r="B84" s="11">
        <f>[1]CH4!$S83</f>
        <v>965.43499999999995</v>
      </c>
      <c r="C84" s="10">
        <f>[1]CO2!$D84</f>
        <v>1918.33</v>
      </c>
      <c r="D84" s="11">
        <f>[1]CO2!$S84</f>
        <v>303.28500000000003</v>
      </c>
      <c r="E84" s="10">
        <f>[1]N2O!$D83</f>
        <v>1843</v>
      </c>
      <c r="F84" s="11">
        <f>[1]N2O!$S83</f>
        <v>271.98500000000001</v>
      </c>
    </row>
    <row r="85" spans="1:6" x14ac:dyDescent="0.3">
      <c r="A85" s="10">
        <f>[1]CH4!$D84</f>
        <v>1919.33</v>
      </c>
      <c r="B85" s="11">
        <f>[1]CH4!$S84</f>
        <v>971.03800000000001</v>
      </c>
      <c r="C85" s="10">
        <f>[1]CO2!$D85</f>
        <v>1918.33</v>
      </c>
      <c r="D85" s="11">
        <f>[1]CO2!$S85</f>
        <v>303.52100000000002</v>
      </c>
      <c r="E85" s="10">
        <f>[1]N2O!$D84</f>
        <v>1842.17</v>
      </c>
      <c r="F85" s="11">
        <f>[1]N2O!$S84</f>
        <v>271.06799999999998</v>
      </c>
    </row>
    <row r="86" spans="1:6" x14ac:dyDescent="0.3">
      <c r="A86" s="10">
        <f>[1]CH4!$D85</f>
        <v>1919.33</v>
      </c>
      <c r="B86" s="11">
        <f>[1]CH4!$S85</f>
        <v>962.97699999999998</v>
      </c>
      <c r="C86" s="10">
        <f>[1]CO2!$D86</f>
        <v>1918.33</v>
      </c>
      <c r="D86" s="11">
        <f>[1]CO2!$S86</f>
        <v>303.90899999999999</v>
      </c>
      <c r="E86" s="10">
        <f>[1]N2O!$D85</f>
        <v>1978.94</v>
      </c>
      <c r="F86" s="11">
        <f>[1]N2O!$S85</f>
        <v>300.06900000000002</v>
      </c>
    </row>
    <row r="87" spans="1:6" x14ac:dyDescent="0.3">
      <c r="A87" s="10">
        <f>[1]CH4!$D86</f>
        <v>1917.1</v>
      </c>
      <c r="B87" s="11">
        <f>[1]CH4!$S86</f>
        <v>940.54700000000003</v>
      </c>
      <c r="C87" s="10">
        <f>[1]CO2!$D87</f>
        <v>1918.33</v>
      </c>
      <c r="D87" s="11">
        <f>[1]CO2!$S87</f>
        <v>304.08800000000002</v>
      </c>
      <c r="E87" s="10">
        <f>[1]N2O!$D86</f>
        <v>1976.18</v>
      </c>
      <c r="F87" s="11">
        <f>[1]N2O!$S86</f>
        <v>299.83100000000002</v>
      </c>
    </row>
    <row r="88" spans="1:6" x14ac:dyDescent="0.3">
      <c r="A88" s="10">
        <f>[1]CH4!$D87</f>
        <v>1915.67</v>
      </c>
      <c r="B88" s="11">
        <f>[1]CH4!$S87</f>
        <v>937.56700000000001</v>
      </c>
      <c r="C88" s="10">
        <f>[1]CO2!$D88</f>
        <v>1916.1</v>
      </c>
      <c r="D88" s="11">
        <f>[1]CO2!$S88</f>
        <v>301.90199999999999</v>
      </c>
      <c r="E88" s="10">
        <f>[1]N2O!$D87</f>
        <v>1974</v>
      </c>
      <c r="F88" s="11">
        <f>[1]N2O!$S87</f>
        <v>297.26499999999999</v>
      </c>
    </row>
    <row r="89" spans="1:6" x14ac:dyDescent="0.3">
      <c r="A89" s="10">
        <f>[1]CH4!$D88</f>
        <v>1913.6</v>
      </c>
      <c r="B89" s="11">
        <f>[1]CH4!$S88</f>
        <v>932.22500000000002</v>
      </c>
      <c r="C89" s="10">
        <f>[1]CO2!$D89</f>
        <v>1914.67</v>
      </c>
      <c r="D89" s="11">
        <f>[1]CO2!$S89</f>
        <v>301.13299999999998</v>
      </c>
      <c r="E89" s="10">
        <f>[1]N2O!$D88</f>
        <v>1972.18</v>
      </c>
      <c r="F89" s="11">
        <f>[1]N2O!$S88</f>
        <v>299.33100000000002</v>
      </c>
    </row>
    <row r="90" spans="1:6" x14ac:dyDescent="0.3">
      <c r="A90" s="10">
        <f>[1]CH4!$D89</f>
        <v>1912.42</v>
      </c>
      <c r="B90" s="11">
        <f>[1]CH4!$S89</f>
        <v>927.35299999999995</v>
      </c>
      <c r="C90" s="10">
        <f>[1]CO2!$D90</f>
        <v>1914.67</v>
      </c>
      <c r="D90" s="11">
        <f>[1]CO2!$S90</f>
        <v>300.41000000000003</v>
      </c>
      <c r="E90" s="10">
        <f>[1]N2O!$D89</f>
        <v>1971.71</v>
      </c>
      <c r="F90" s="11">
        <f>[1]N2O!$S89</f>
        <v>298.25200000000001</v>
      </c>
    </row>
    <row r="91" spans="1:6" x14ac:dyDescent="0.3">
      <c r="A91" s="10">
        <f>[1]CH4!$D90</f>
        <v>1912.25</v>
      </c>
      <c r="B91" s="11">
        <f>[1]CH4!$S90</f>
        <v>927.53399999999999</v>
      </c>
      <c r="C91" s="10">
        <f>[1]CO2!$D91</f>
        <v>1912.6</v>
      </c>
      <c r="D91" s="11">
        <f>[1]CO2!$S91</f>
        <v>301.28500000000003</v>
      </c>
      <c r="E91" s="10">
        <f>[1]N2O!$D90</f>
        <v>1970.92</v>
      </c>
      <c r="F91" s="11">
        <f>[1]N2O!$S90</f>
        <v>296.58699999999999</v>
      </c>
    </row>
    <row r="92" spans="1:6" x14ac:dyDescent="0.3">
      <c r="A92" s="10">
        <f>[1]CH4!$D91</f>
        <v>1911.92</v>
      </c>
      <c r="B92" s="11">
        <f>[1]CH4!$S91</f>
        <v>926.81700000000001</v>
      </c>
      <c r="C92" s="10">
        <f>[1]CO2!$D92</f>
        <v>1911.42</v>
      </c>
      <c r="D92" s="11">
        <f>[1]CO2!$S92</f>
        <v>298.27499999999998</v>
      </c>
      <c r="E92" s="10">
        <f>[1]N2O!$D91</f>
        <v>1967.33</v>
      </c>
      <c r="F92" s="11">
        <f>[1]N2O!$S91</f>
        <v>293.91899999999998</v>
      </c>
    </row>
    <row r="93" spans="1:6" x14ac:dyDescent="0.3">
      <c r="A93" s="10">
        <f>[1]CH4!$D92</f>
        <v>1910</v>
      </c>
      <c r="B93" s="11">
        <f>[1]CH4!$S92</f>
        <v>946.73099999999999</v>
      </c>
      <c r="C93" s="10">
        <f>[1]CO2!$D93</f>
        <v>1911.25</v>
      </c>
      <c r="D93" s="11">
        <f>[1]CO2!$S93</f>
        <v>296.745</v>
      </c>
      <c r="E93" s="10">
        <f>[1]N2O!$D92</f>
        <v>1948.64</v>
      </c>
      <c r="F93" s="11">
        <f>[1]N2O!$S92</f>
        <v>288.81299999999999</v>
      </c>
    </row>
    <row r="94" spans="1:6" x14ac:dyDescent="0.3">
      <c r="A94" s="10">
        <f>[1]CH4!$D93</f>
        <v>1906.8</v>
      </c>
      <c r="B94" s="11">
        <f>[1]CH4!$S93</f>
        <v>895.36400000000003</v>
      </c>
      <c r="C94" s="10">
        <f>[1]CO2!$D94</f>
        <v>1910.92</v>
      </c>
      <c r="D94" s="11">
        <f>[1]CO2!$S94</f>
        <v>297.98500000000001</v>
      </c>
      <c r="E94" s="10">
        <f>[1]N2O!$D93</f>
        <v>1941.33</v>
      </c>
      <c r="F94" s="11">
        <f>[1]N2O!$S93</f>
        <v>289.928</v>
      </c>
    </row>
    <row r="95" spans="1:6" x14ac:dyDescent="0.3">
      <c r="A95" s="10">
        <f>[1]CH4!$D94</f>
        <v>1906.6</v>
      </c>
      <c r="B95" s="11">
        <f>[1]CH4!$S94</f>
        <v>897.96500000000003</v>
      </c>
      <c r="C95" s="10">
        <f>[1]CO2!$D95</f>
        <v>1910.15</v>
      </c>
      <c r="D95" s="11">
        <f>[1]CO2!$S95</f>
        <v>297.738</v>
      </c>
      <c r="E95" s="10">
        <f>[1]N2O!$D94</f>
        <v>1935.36</v>
      </c>
      <c r="F95" s="11">
        <f>[1]N2O!$S94</f>
        <v>290.32100000000003</v>
      </c>
    </row>
    <row r="96" spans="1:6" x14ac:dyDescent="0.3">
      <c r="A96" s="10">
        <f>[1]CH4!$D95</f>
        <v>1905.1</v>
      </c>
      <c r="B96" s="11">
        <f>[1]CH4!$S95</f>
        <v>896.10699999999997</v>
      </c>
      <c r="C96" s="10">
        <f>[1]CO2!$D96</f>
        <v>1909</v>
      </c>
      <c r="D96" s="11">
        <f>[1]CO2!$S96</f>
        <v>301.565</v>
      </c>
      <c r="E96" s="10">
        <f>[1]N2O!$D95</f>
        <v>1833</v>
      </c>
      <c r="F96" s="11">
        <f>[1]N2O!$S95</f>
        <v>273.65499999999997</v>
      </c>
    </row>
    <row r="97" spans="1:6" x14ac:dyDescent="0.3">
      <c r="A97" s="10">
        <f>[1]CH4!$D96</f>
        <v>1902.89</v>
      </c>
      <c r="B97" s="11">
        <f>[1]CH4!$S96</f>
        <v>878.54200000000003</v>
      </c>
      <c r="C97" s="10">
        <f>[1]CO2!$D97</f>
        <v>1905.8</v>
      </c>
      <c r="D97" s="11">
        <f>[1]CO2!$S97</f>
        <v>297.245</v>
      </c>
      <c r="E97" s="10">
        <f>[1]N2O!$D96</f>
        <v>1950.25</v>
      </c>
      <c r="F97" s="11">
        <f>[1]N2O!$S96</f>
        <v>288.38099999999997</v>
      </c>
    </row>
    <row r="98" spans="1:6" x14ac:dyDescent="0.3">
      <c r="A98" s="10">
        <f>[1]CH4!$D97</f>
        <v>1902</v>
      </c>
      <c r="B98" s="11">
        <f>[1]CH4!$S97</f>
        <v>877.93700000000001</v>
      </c>
      <c r="C98" s="10">
        <f>[1]CO2!$D98</f>
        <v>1905.6</v>
      </c>
      <c r="D98" s="11">
        <f>[1]CO2!$S98</f>
        <v>298.94200000000001</v>
      </c>
      <c r="E98" s="10">
        <f>[1]N2O!$D97</f>
        <v>1905.77</v>
      </c>
      <c r="F98" s="11">
        <f>[1]N2O!$S97</f>
        <v>280.46800000000002</v>
      </c>
    </row>
    <row r="99" spans="1:6" x14ac:dyDescent="0.3">
      <c r="A99" s="10">
        <f>[1]CH4!$D98</f>
        <v>1901.27</v>
      </c>
      <c r="B99" s="11">
        <f>[1]CH4!$S98</f>
        <v>879.97699999999998</v>
      </c>
      <c r="C99" s="10">
        <f>[1]CO2!$D99</f>
        <v>1904.1</v>
      </c>
      <c r="D99" s="11">
        <f>[1]CO2!$S99</f>
        <v>296.12700000000001</v>
      </c>
      <c r="E99" s="10">
        <f>[1]N2O!$D98</f>
        <v>1901.7</v>
      </c>
      <c r="F99" s="11">
        <f>[1]N2O!$S98</f>
        <v>277.654</v>
      </c>
    </row>
    <row r="100" spans="1:6" x14ac:dyDescent="0.3">
      <c r="A100" s="10">
        <f>[1]CH4!$D99</f>
        <v>1900.23</v>
      </c>
      <c r="B100" s="11">
        <f>[1]CH4!$S99</f>
        <v>879.62699999999995</v>
      </c>
      <c r="C100" s="10">
        <f>[1]CO2!$D100</f>
        <v>1901.89</v>
      </c>
      <c r="D100" s="11">
        <f>[1]CO2!$S100</f>
        <v>295.33300000000003</v>
      </c>
      <c r="E100" s="10">
        <f>[1]N2O!$D99</f>
        <v>1834.93</v>
      </c>
      <c r="F100" s="11">
        <f>[1]N2O!$S99</f>
        <v>270.69799999999998</v>
      </c>
    </row>
    <row r="101" spans="1:6" x14ac:dyDescent="0.3">
      <c r="A101" s="10">
        <f>[1]CH4!$D100</f>
        <v>1900</v>
      </c>
      <c r="B101" s="11">
        <f>[1]CH4!$S100</f>
        <v>871.86900000000003</v>
      </c>
      <c r="C101" s="10">
        <f>[1]CO2!$D101</f>
        <v>1901.89</v>
      </c>
      <c r="D101" s="11">
        <f>[1]CO2!$S101</f>
        <v>294.512</v>
      </c>
      <c r="E101" s="10">
        <f>[1]N2O!$D100</f>
        <v>1813.66</v>
      </c>
      <c r="F101" s="11">
        <f>[1]N2O!$S100</f>
        <v>273.88099999999997</v>
      </c>
    </row>
    <row r="102" spans="1:6" x14ac:dyDescent="0.3">
      <c r="A102" s="10">
        <f>[1]CH4!$D101</f>
        <v>1898.25</v>
      </c>
      <c r="B102" s="11">
        <f>[1]CH4!$S101</f>
        <v>856.76800000000003</v>
      </c>
      <c r="C102" s="10">
        <f>[1]CO2!$D102</f>
        <v>1900.27</v>
      </c>
      <c r="D102" s="11">
        <f>[1]CO2!$S102</f>
        <v>294.089</v>
      </c>
      <c r="E102" s="10">
        <f>[1]N2O!$D101</f>
        <v>1799.34</v>
      </c>
      <c r="F102" s="11">
        <f>[1]N2O!$S101</f>
        <v>273.64400000000001</v>
      </c>
    </row>
    <row r="103" spans="1:6" x14ac:dyDescent="0.3">
      <c r="A103" s="10">
        <f>[1]CH4!$D102</f>
        <v>1898.25</v>
      </c>
      <c r="B103" s="11">
        <f>[1]CH4!$S102</f>
        <v>874.95399999999995</v>
      </c>
      <c r="C103" s="10">
        <f>[1]CO2!$D103</f>
        <v>1899.23</v>
      </c>
      <c r="D103" s="11">
        <f>[1]CO2!$S103</f>
        <v>297.10700000000003</v>
      </c>
      <c r="E103" s="10">
        <f>[1]N2O!$D102</f>
        <v>1795.94</v>
      </c>
      <c r="F103" s="11">
        <f>[1]N2O!$S102</f>
        <v>273.28199999999998</v>
      </c>
    </row>
    <row r="104" spans="1:6" x14ac:dyDescent="0.3">
      <c r="A104" s="10">
        <f>[1]CH4!$D103</f>
        <v>1897.9</v>
      </c>
      <c r="B104" s="11">
        <f>[1]CH4!$S103</f>
        <v>863.90700000000004</v>
      </c>
      <c r="C104" s="10">
        <f>[1]CO2!$D104</f>
        <v>1899</v>
      </c>
      <c r="D104" s="11">
        <f>[1]CO2!$S104</f>
        <v>295.27</v>
      </c>
      <c r="E104" s="10">
        <f>[1]N2O!$D103</f>
        <v>1794.1</v>
      </c>
      <c r="F104" s="11">
        <f>[1]N2O!$S103</f>
        <v>274.44400000000002</v>
      </c>
    </row>
    <row r="105" spans="1:6" x14ac:dyDescent="0.3">
      <c r="A105" s="10">
        <f>[1]CH4!$D104</f>
        <v>1895</v>
      </c>
      <c r="B105" s="11">
        <f>[1]CH4!$S104</f>
        <v>868.52300000000002</v>
      </c>
      <c r="C105" s="10">
        <f>[1]CO2!$D105</f>
        <v>1897.25</v>
      </c>
      <c r="D105" s="11">
        <f>[1]CO2!$S105</f>
        <v>293.32799999999997</v>
      </c>
      <c r="E105" s="10">
        <f>[1]N2O!$D104</f>
        <v>1763.7</v>
      </c>
      <c r="F105" s="11">
        <f>[1]N2O!$S104</f>
        <v>276.267</v>
      </c>
    </row>
    <row r="106" spans="1:6" x14ac:dyDescent="0.3">
      <c r="A106" s="10">
        <f>[1]CH4!$D105</f>
        <v>1894.92</v>
      </c>
      <c r="B106" s="11">
        <f>[1]CH4!$S105</f>
        <v>866.29499999999996</v>
      </c>
      <c r="C106" s="10">
        <f>[1]CO2!$D106</f>
        <v>1897.25</v>
      </c>
      <c r="D106" s="11">
        <f>[1]CO2!$S106</f>
        <v>291.97899999999998</v>
      </c>
      <c r="E106" s="10">
        <f>[1]N2O!$D105</f>
        <v>1762.88</v>
      </c>
      <c r="F106" s="11">
        <f>[1]N2O!$S105</f>
        <v>275.75099999999998</v>
      </c>
    </row>
    <row r="107" spans="1:6" x14ac:dyDescent="0.3">
      <c r="A107" s="10">
        <f>[1]CH4!$D106</f>
        <v>1894.25</v>
      </c>
      <c r="B107" s="11">
        <f>[1]CH4!$S106</f>
        <v>867.02099999999996</v>
      </c>
      <c r="C107" s="10">
        <f>[1]CO2!$D107</f>
        <v>1897.08</v>
      </c>
      <c r="D107" s="11">
        <f>[1]CO2!$S107</f>
        <v>291.75200000000001</v>
      </c>
      <c r="E107" s="10">
        <f>[1]N2O!$D106</f>
        <v>1749.12</v>
      </c>
      <c r="F107" s="11">
        <f>[1]N2O!$S106</f>
        <v>271.95600000000002</v>
      </c>
    </row>
    <row r="108" spans="1:6" x14ac:dyDescent="0.3">
      <c r="A108" s="10">
        <f>[1]CH4!$D107</f>
        <v>1893.75</v>
      </c>
      <c r="B108" s="11">
        <f>[1]CH4!$S107</f>
        <v>862.24800000000005</v>
      </c>
      <c r="C108" s="10">
        <f>[1]CO2!$D108</f>
        <v>1896.9</v>
      </c>
      <c r="D108" s="11">
        <f>[1]CO2!$S108</f>
        <v>294.49099999999999</v>
      </c>
      <c r="E108" s="10">
        <f>[1]N2O!$D107</f>
        <v>1722.86</v>
      </c>
      <c r="F108" s="11">
        <f>[1]N2O!$S107</f>
        <v>271.14499999999998</v>
      </c>
    </row>
    <row r="109" spans="1:6" x14ac:dyDescent="0.3">
      <c r="A109" s="10">
        <f>[1]CH4!$D108</f>
        <v>1891</v>
      </c>
      <c r="B109" s="11">
        <f>[1]CH4!$S108</f>
        <v>855.71799999999996</v>
      </c>
      <c r="C109" s="10">
        <f>[1]CO2!$D109</f>
        <v>1896.9</v>
      </c>
      <c r="D109" s="11">
        <f>[1]CO2!$S109</f>
        <v>294.68</v>
      </c>
      <c r="E109" s="10">
        <f>[1]N2O!$D108</f>
        <v>1681.89</v>
      </c>
      <c r="F109" s="11">
        <f>[1]N2O!$S108</f>
        <v>271.17899999999997</v>
      </c>
    </row>
    <row r="110" spans="1:6" x14ac:dyDescent="0.3">
      <c r="A110" s="10">
        <f>[1]CH4!$D109</f>
        <v>1890</v>
      </c>
      <c r="B110" s="11">
        <f>[1]CH4!$S109</f>
        <v>854.63699999999994</v>
      </c>
      <c r="C110" s="10">
        <f>[1]CO2!$D110</f>
        <v>1896.7</v>
      </c>
      <c r="D110" s="11">
        <f>[1]CO2!$S110</f>
        <v>291.88499999999999</v>
      </c>
      <c r="E110" s="10">
        <f>[1]N2O!$D109</f>
        <v>1609.46</v>
      </c>
      <c r="F110" s="11">
        <f>[1]N2O!$S109</f>
        <v>268.822</v>
      </c>
    </row>
    <row r="111" spans="1:6" x14ac:dyDescent="0.3">
      <c r="A111" s="10">
        <f>[1]CH4!$D110</f>
        <v>1890</v>
      </c>
      <c r="B111" s="11">
        <f>[1]CH4!$S110</f>
        <v>854.94399999999996</v>
      </c>
      <c r="C111" s="10">
        <f>[1]CO2!$D111</f>
        <v>1894</v>
      </c>
      <c r="D111" s="11">
        <f>[1]CO2!$S111</f>
        <v>293.94400000000002</v>
      </c>
      <c r="E111" s="10">
        <f>[1]N2O!$D110</f>
        <v>1590.99</v>
      </c>
      <c r="F111" s="11">
        <f>[1]N2O!$S110</f>
        <v>269.39600000000002</v>
      </c>
    </row>
    <row r="112" spans="1:6" x14ac:dyDescent="0.3">
      <c r="A112" s="10">
        <f>[1]CH4!$D111</f>
        <v>1888.54</v>
      </c>
      <c r="B112" s="11">
        <f>[1]CH4!$S111</f>
        <v>843.11800000000005</v>
      </c>
      <c r="C112" s="10">
        <f>[1]CO2!$D112</f>
        <v>1893.92</v>
      </c>
      <c r="D112" s="11">
        <f>[1]CO2!$S112</f>
        <v>292.18099999999998</v>
      </c>
      <c r="E112" s="10">
        <f>[1]N2O!$D111</f>
        <v>1573.01</v>
      </c>
      <c r="F112" s="11">
        <f>[1]N2O!$S111</f>
        <v>270.69299999999998</v>
      </c>
    </row>
    <row r="113" spans="1:6" x14ac:dyDescent="0.3">
      <c r="A113" s="10">
        <f>[1]CH4!$D112</f>
        <v>1887.92</v>
      </c>
      <c r="B113" s="11">
        <f>[1]CH4!$S112</f>
        <v>841.68799999999999</v>
      </c>
      <c r="C113" s="10">
        <f>[1]CO2!$D113</f>
        <v>1893.25</v>
      </c>
      <c r="D113" s="11">
        <f>[1]CO2!$S113</f>
        <v>293.875</v>
      </c>
      <c r="E113" s="10">
        <f>[1]N2O!$D112</f>
        <v>1559.86</v>
      </c>
      <c r="F113" s="11">
        <f>[1]N2O!$S112</f>
        <v>272.71100000000001</v>
      </c>
    </row>
    <row r="114" spans="1:6" x14ac:dyDescent="0.3">
      <c r="A114" s="10">
        <f>[1]CH4!$D113</f>
        <v>1887.75</v>
      </c>
      <c r="B114" s="11">
        <f>[1]CH4!$S113</f>
        <v>844.02</v>
      </c>
      <c r="C114" s="10">
        <f>[1]CO2!$D114</f>
        <v>1892.75</v>
      </c>
      <c r="D114" s="11">
        <f>[1]CO2!$S114</f>
        <v>295.17700000000002</v>
      </c>
      <c r="E114" s="10">
        <f>[1]N2O!$D113</f>
        <v>1549.65</v>
      </c>
      <c r="F114" s="11">
        <f>[1]N2O!$S113</f>
        <v>270.89100000000002</v>
      </c>
    </row>
    <row r="115" spans="1:6" x14ac:dyDescent="0.3">
      <c r="A115" s="10">
        <f>[1]CH4!$D114</f>
        <v>1887.58</v>
      </c>
      <c r="B115" s="11">
        <f>[1]CH4!$S114</f>
        <v>844.63199999999995</v>
      </c>
      <c r="C115" s="10">
        <f>[1]CO2!$D115</f>
        <v>1890</v>
      </c>
      <c r="D115" s="11">
        <f>[1]CO2!$S115</f>
        <v>290.78399999999999</v>
      </c>
      <c r="E115" s="10">
        <f>[1]N2O!$D114</f>
        <v>1529.68</v>
      </c>
      <c r="F115" s="11">
        <f>[1]N2O!$S114</f>
        <v>273.72899999999998</v>
      </c>
    </row>
    <row r="116" spans="1:6" x14ac:dyDescent="0.3">
      <c r="A116" s="10">
        <f>[1]CH4!$D115</f>
        <v>1887</v>
      </c>
      <c r="B116" s="11">
        <f>[1]CH4!$S115</f>
        <v>852.81399999999996</v>
      </c>
      <c r="C116" s="10">
        <f>[1]CO2!$D116</f>
        <v>1889</v>
      </c>
      <c r="D116" s="11">
        <f>[1]CO2!$S116</f>
        <v>292.51900000000001</v>
      </c>
      <c r="E116" s="10">
        <f>[1]N2O!$D115</f>
        <v>1449.16</v>
      </c>
      <c r="F116" s="11">
        <f>[1]N2O!$S115</f>
        <v>268.12599999999998</v>
      </c>
    </row>
    <row r="117" spans="1:6" x14ac:dyDescent="0.3">
      <c r="A117" s="10">
        <f>[1]CH4!$D116</f>
        <v>1885.1</v>
      </c>
      <c r="B117" s="11">
        <f>[1]CH4!$S116</f>
        <v>848.077</v>
      </c>
      <c r="C117" s="10">
        <f>[1]CO2!$D117</f>
        <v>1889</v>
      </c>
      <c r="D117" s="11">
        <f>[1]CO2!$S117</f>
        <v>292.43700000000001</v>
      </c>
      <c r="E117" s="10">
        <f>[1]N2O!$D116</f>
        <v>1410.86</v>
      </c>
      <c r="F117" s="11">
        <f>[1]N2O!$S116</f>
        <v>268.822</v>
      </c>
    </row>
    <row r="118" spans="1:6" x14ac:dyDescent="0.3">
      <c r="A118" s="10">
        <f>[1]CH4!$D117</f>
        <v>1884.47</v>
      </c>
      <c r="B118" s="11">
        <f>[1]CH4!$S117</f>
        <v>838.00199999999995</v>
      </c>
      <c r="C118" s="10">
        <f>[1]CO2!$D118</f>
        <v>1887.54</v>
      </c>
      <c r="D118" s="11">
        <f>[1]CO2!$S118</f>
        <v>294.25400000000002</v>
      </c>
      <c r="E118" s="10">
        <f>[1]N2O!$D117</f>
        <v>1330.12</v>
      </c>
      <c r="F118" s="11">
        <f>[1]N2O!$S117</f>
        <v>270.79899999999998</v>
      </c>
    </row>
    <row r="119" spans="1:6" x14ac:dyDescent="0.3">
      <c r="A119" s="10">
        <f>[1]CH4!$D118</f>
        <v>1881.18</v>
      </c>
      <c r="B119" s="11">
        <f>[1]CH4!$S118</f>
        <v>835.21199999999999</v>
      </c>
      <c r="C119" s="10">
        <f>[1]CO2!$D119</f>
        <v>1886.92</v>
      </c>
      <c r="D119" s="11">
        <f>[1]CO2!$S119</f>
        <v>289.88600000000002</v>
      </c>
      <c r="E119" s="10">
        <f>[1]N2O!$D118</f>
        <v>1259.51</v>
      </c>
      <c r="F119" s="11">
        <f>[1]N2O!$S118</f>
        <v>270.16699999999997</v>
      </c>
    </row>
    <row r="120" spans="1:6" x14ac:dyDescent="0.3">
      <c r="A120" s="10">
        <f>[1]CH4!$D119</f>
        <v>1878.2</v>
      </c>
      <c r="B120" s="11">
        <f>[1]CH4!$S119</f>
        <v>831.65099999999995</v>
      </c>
      <c r="C120" s="10">
        <f>[1]CO2!$D120</f>
        <v>1886.75</v>
      </c>
      <c r="D120" s="11">
        <f>[1]CO2!$S120</f>
        <v>290.37200000000001</v>
      </c>
      <c r="E120" s="10">
        <f>[1]N2O!$D119</f>
        <v>1210.96</v>
      </c>
      <c r="F120" s="11">
        <f>[1]N2O!$S119</f>
        <v>270.29599999999999</v>
      </c>
    </row>
    <row r="121" spans="1:6" x14ac:dyDescent="0.3">
      <c r="A121" s="10">
        <f>[1]CH4!$D120</f>
        <v>1876.8</v>
      </c>
      <c r="B121" s="11">
        <f>[1]CH4!$S120</f>
        <v>810.95</v>
      </c>
      <c r="C121" s="10">
        <f>[1]CO2!$D121</f>
        <v>1886.58</v>
      </c>
      <c r="D121" s="11">
        <f>[1]CO2!$S121</f>
        <v>291.07900000000001</v>
      </c>
      <c r="E121" s="10">
        <f>[1]N2O!$D120</f>
        <v>1115.94</v>
      </c>
      <c r="F121" s="11">
        <f>[1]N2O!$S120</f>
        <v>270.93200000000002</v>
      </c>
    </row>
    <row r="122" spans="1:6" x14ac:dyDescent="0.3">
      <c r="A122" s="10">
        <f>[1]CH4!$D121</f>
        <v>1875.1</v>
      </c>
      <c r="B122" s="11">
        <f>[1]CH4!$S121</f>
        <v>832.96100000000001</v>
      </c>
      <c r="C122" s="10">
        <f>[1]CO2!$D122</f>
        <v>1886</v>
      </c>
      <c r="D122" s="11">
        <f>[1]CO2!$S122</f>
        <v>288.18900000000002</v>
      </c>
      <c r="E122" s="10">
        <f>[1]N2O!$D121</f>
        <v>914.45</v>
      </c>
      <c r="F122" s="11">
        <f>[1]N2O!$S121</f>
        <v>273.51</v>
      </c>
    </row>
    <row r="123" spans="1:6" x14ac:dyDescent="0.3">
      <c r="A123" s="10">
        <f>[1]CH4!$D122</f>
        <v>1874</v>
      </c>
      <c r="B123" s="11">
        <f>[1]CH4!$S122</f>
        <v>827.90300000000002</v>
      </c>
      <c r="C123" s="10">
        <f>[1]CO2!$D123</f>
        <v>1884.1</v>
      </c>
      <c r="D123" s="11">
        <f>[1]CO2!$S123</f>
        <v>289.89699999999999</v>
      </c>
      <c r="E123" s="10">
        <f>[1]N2O!$D122</f>
        <v>875.41</v>
      </c>
      <c r="F123" s="11">
        <f>[1]N2O!$S122</f>
        <v>270.85000000000002</v>
      </c>
    </row>
    <row r="124" spans="1:6" x14ac:dyDescent="0.3">
      <c r="A124" s="10">
        <f>[1]CH4!$D123</f>
        <v>1871.2</v>
      </c>
      <c r="B124" s="11">
        <f>[1]CH4!$S123</f>
        <v>828.15</v>
      </c>
      <c r="C124" s="10">
        <f>[1]CO2!$D124</f>
        <v>1883.47</v>
      </c>
      <c r="D124" s="11">
        <f>[1]CO2!$S124</f>
        <v>292.45299999999997</v>
      </c>
      <c r="E124" s="10">
        <f>[1]N2O!$D123</f>
        <v>822.33</v>
      </c>
      <c r="F124" s="11">
        <f>[1]N2O!$S123</f>
        <v>272.137</v>
      </c>
    </row>
    <row r="125" spans="1:6" x14ac:dyDescent="0.3">
      <c r="A125" s="10">
        <f>[1]CH4!$D124</f>
        <v>1870.83</v>
      </c>
      <c r="B125" s="11">
        <f>[1]CH4!$S124</f>
        <v>820.97199999999998</v>
      </c>
      <c r="C125" s="10">
        <f>[1]CO2!$D125</f>
        <v>1880.18</v>
      </c>
      <c r="D125" s="11">
        <f>[1]CO2!$S125</f>
        <v>287.637</v>
      </c>
      <c r="E125" s="10">
        <f>[1]N2O!$D124</f>
        <v>701.25</v>
      </c>
      <c r="F125" s="11">
        <f>[1]N2O!$S124</f>
        <v>264.01299999999998</v>
      </c>
    </row>
    <row r="126" spans="1:6" x14ac:dyDescent="0.3">
      <c r="A126" s="10">
        <f>[1]CH4!$D125</f>
        <v>1869.63</v>
      </c>
      <c r="B126" s="11">
        <f>[1]CH4!$S125</f>
        <v>820.30200000000002</v>
      </c>
      <c r="C126" s="10">
        <f>[1]CO2!$D126</f>
        <v>1877.2</v>
      </c>
      <c r="D126" s="11">
        <f>[1]CO2!$S126</f>
        <v>289.23200000000003</v>
      </c>
      <c r="E126" s="10">
        <f>[1]N2O!$D125</f>
        <v>669.18</v>
      </c>
      <c r="F126" s="11">
        <f>[1]N2O!$S125</f>
        <v>265.12200000000001</v>
      </c>
    </row>
    <row r="127" spans="1:6" x14ac:dyDescent="0.3">
      <c r="A127" s="10">
        <f>[1]CH4!$D126</f>
        <v>1868</v>
      </c>
      <c r="B127" s="11">
        <f>[1]CH4!$S126</f>
        <v>826.74</v>
      </c>
      <c r="C127" s="10">
        <f>[1]CO2!$D127</f>
        <v>1874.1</v>
      </c>
      <c r="D127" s="11">
        <f>[1]CO2!$S127</f>
        <v>291.61700000000002</v>
      </c>
      <c r="E127" s="10">
        <f>[1]N2O!$D126</f>
        <v>637</v>
      </c>
      <c r="F127" s="11">
        <f>[1]N2O!$S126</f>
        <v>263.89699999999999</v>
      </c>
    </row>
    <row r="128" spans="1:6" x14ac:dyDescent="0.3">
      <c r="A128" s="10">
        <f>[1]CH4!$D127</f>
        <v>1868</v>
      </c>
      <c r="B128" s="11">
        <f>[1]CH4!$S127</f>
        <v>823.00300000000004</v>
      </c>
      <c r="C128" s="10">
        <f>[1]CO2!$D128</f>
        <v>1873</v>
      </c>
      <c r="D128" s="11">
        <f>[1]CO2!$S128</f>
        <v>286.72800000000001</v>
      </c>
      <c r="E128" s="10">
        <f>[1]N2O!$D127</f>
        <v>614.52</v>
      </c>
      <c r="F128" s="11">
        <f>[1]N2O!$S127</f>
        <v>267.38600000000002</v>
      </c>
    </row>
    <row r="129" spans="1:6" x14ac:dyDescent="0.3">
      <c r="A129" s="10">
        <f>[1]CH4!$D128</f>
        <v>1865.47</v>
      </c>
      <c r="B129" s="11">
        <f>[1]CH4!$S128</f>
        <v>807.798</v>
      </c>
      <c r="C129" s="10">
        <f>[1]CO2!$D129</f>
        <v>1870.2</v>
      </c>
      <c r="D129" s="11">
        <f>[1]CO2!$S129</f>
        <v>286.19200000000001</v>
      </c>
      <c r="E129" s="10">
        <f>[1]N2O!$D128</f>
        <v>582.41</v>
      </c>
      <c r="F129" s="11">
        <f>[1]N2O!$S128</f>
        <v>263.02199999999999</v>
      </c>
    </row>
    <row r="130" spans="1:6" x14ac:dyDescent="0.3">
      <c r="A130" s="10">
        <f>[1]CH4!$D129</f>
        <v>1864.4</v>
      </c>
      <c r="B130" s="11">
        <f>[1]CH4!$S129</f>
        <v>814.53599999999994</v>
      </c>
      <c r="C130" s="10">
        <f>[1]CO2!$D130</f>
        <v>1869.83</v>
      </c>
      <c r="D130" s="11">
        <f>[1]CO2!$S130</f>
        <v>287.995</v>
      </c>
      <c r="E130" s="10">
        <f>[1]N2O!$D129</f>
        <v>557.47</v>
      </c>
      <c r="F130" s="11">
        <f>[1]N2O!$S129</f>
        <v>266.76299999999998</v>
      </c>
    </row>
    <row r="131" spans="1:6" x14ac:dyDescent="0.3">
      <c r="A131" s="10">
        <f>[1]CH4!$D130</f>
        <v>1863.18</v>
      </c>
      <c r="B131" s="11">
        <f>[1]CH4!$S130</f>
        <v>798.86599999999999</v>
      </c>
      <c r="C131" s="10">
        <f>[1]CO2!$D131</f>
        <v>1868.63</v>
      </c>
      <c r="D131" s="11">
        <f>[1]CO2!$S131</f>
        <v>288.81799999999998</v>
      </c>
      <c r="E131" s="10">
        <f>[1]N2O!$D130</f>
        <v>551.62</v>
      </c>
      <c r="F131" s="11">
        <f>[1]N2O!$S130</f>
        <v>264.50299999999999</v>
      </c>
    </row>
    <row r="132" spans="1:6" x14ac:dyDescent="0.3">
      <c r="A132" s="10">
        <f>[1]CH4!$D131</f>
        <v>1860.09</v>
      </c>
      <c r="B132" s="11">
        <f>[1]CH4!$S131</f>
        <v>797.28499999999997</v>
      </c>
      <c r="C132" s="10">
        <f>[1]CO2!$D132</f>
        <v>1868.63</v>
      </c>
      <c r="D132" s="11">
        <f>[1]CO2!$S132</f>
        <v>288.22500000000002</v>
      </c>
      <c r="E132" s="10">
        <f>[1]N2O!$D131</f>
        <v>488.43</v>
      </c>
      <c r="F132" s="11">
        <f>[1]N2O!$S131</f>
        <v>266.22899999999998</v>
      </c>
    </row>
    <row r="133" spans="1:6" x14ac:dyDescent="0.3">
      <c r="A133" s="10">
        <f>[1]CH4!$D132</f>
        <v>1858.15</v>
      </c>
      <c r="B133" s="11">
        <f>[1]CH4!$S132</f>
        <v>792.49099999999999</v>
      </c>
      <c r="C133" s="10">
        <f>[1]CO2!$D133</f>
        <v>1867</v>
      </c>
      <c r="D133" s="11">
        <f>[1]CO2!$S133</f>
        <v>284.78100000000001</v>
      </c>
      <c r="E133" s="10">
        <f>[1]N2O!$D132</f>
        <v>436.94</v>
      </c>
      <c r="F133" s="11">
        <f>[1]N2O!$S132</f>
        <v>266.51799999999997</v>
      </c>
    </row>
    <row r="134" spans="1:6" x14ac:dyDescent="0.3">
      <c r="A134" s="10">
        <f>[1]CH4!$D133</f>
        <v>1856</v>
      </c>
      <c r="B134" s="11">
        <f>[1]CH4!$S133</f>
        <v>784.95399999999995</v>
      </c>
      <c r="C134" s="10">
        <f>[1]CO2!$D134</f>
        <v>1867</v>
      </c>
      <c r="D134" s="11">
        <f>[1]CO2!$S134</f>
        <v>285.46800000000002</v>
      </c>
      <c r="E134" s="10">
        <f>[1]N2O!$D133</f>
        <v>406.36</v>
      </c>
      <c r="F134" s="11">
        <f>[1]N2O!$S133</f>
        <v>264.18299999999999</v>
      </c>
    </row>
    <row r="135" spans="1:6" x14ac:dyDescent="0.3">
      <c r="A135" s="10">
        <f>[1]CH4!$D134</f>
        <v>1855</v>
      </c>
      <c r="B135" s="11">
        <f>[1]CH4!$S134</f>
        <v>796.83100000000002</v>
      </c>
      <c r="C135" s="10">
        <f>[1]CO2!$D135</f>
        <v>1864.47</v>
      </c>
      <c r="D135" s="11">
        <f>[1]CO2!$S135</f>
        <v>286.52100000000002</v>
      </c>
      <c r="E135" s="10">
        <f>[1]N2O!$D134</f>
        <v>384.23</v>
      </c>
      <c r="F135" s="11">
        <f>[1]N2O!$S134</f>
        <v>265.05200000000002</v>
      </c>
    </row>
    <row r="136" spans="1:6" x14ac:dyDescent="0.3">
      <c r="A136" s="10">
        <f>[1]CH4!$D135</f>
        <v>1852.3</v>
      </c>
      <c r="B136" s="11">
        <f>[1]CH4!$S135</f>
        <v>793.59299999999996</v>
      </c>
      <c r="C136" s="10">
        <f>[1]CO2!$D136</f>
        <v>1863.4</v>
      </c>
      <c r="D136" s="11">
        <f>[1]CO2!$S136</f>
        <v>285.48700000000002</v>
      </c>
      <c r="E136" s="10">
        <f>[1]N2O!$D135</f>
        <v>317.55</v>
      </c>
      <c r="F136" s="11">
        <f>[1]N2O!$S135</f>
        <v>270.88600000000002</v>
      </c>
    </row>
    <row r="137" spans="1:6" x14ac:dyDescent="0.3">
      <c r="A137" s="10">
        <f>[1]CH4!$D136</f>
        <v>1851.5</v>
      </c>
      <c r="B137" s="11">
        <f>[1]CH4!$S136</f>
        <v>778.23800000000006</v>
      </c>
      <c r="C137" s="10">
        <f>[1]CO2!$D137</f>
        <v>1862.18</v>
      </c>
      <c r="D137" s="11">
        <f>[1]CO2!$S137</f>
        <v>287.16399999999999</v>
      </c>
      <c r="E137" s="10">
        <f>[1]N2O!$D136</f>
        <v>266.10000000000002</v>
      </c>
      <c r="F137" s="11">
        <f>[1]N2O!$S136</f>
        <v>267.83699999999999</v>
      </c>
    </row>
    <row r="138" spans="1:6" x14ac:dyDescent="0.3">
      <c r="A138" s="10">
        <f>[1]CH4!$D137</f>
        <v>1847</v>
      </c>
      <c r="B138" s="11">
        <f>[1]CH4!$S137</f>
        <v>780.822</v>
      </c>
      <c r="C138" s="10">
        <f>[1]CO2!$D138</f>
        <v>1859.09</v>
      </c>
      <c r="D138" s="11">
        <f>[1]CO2!$S138</f>
        <v>286.77199999999999</v>
      </c>
      <c r="E138" s="10">
        <f>[1]N2O!$D137</f>
        <v>240.6</v>
      </c>
      <c r="F138" s="11">
        <f>[1]N2O!$S137</f>
        <v>268.73200000000003</v>
      </c>
    </row>
    <row r="139" spans="1:6" x14ac:dyDescent="0.3">
      <c r="A139" s="10">
        <f>[1]CH4!$D138</f>
        <v>1846.13</v>
      </c>
      <c r="B139" s="11">
        <f>[1]CH4!$S138</f>
        <v>775.30899999999997</v>
      </c>
      <c r="C139" s="10">
        <f>[1]CO2!$D139</f>
        <v>1857.15</v>
      </c>
      <c r="D139" s="11">
        <f>[1]CO2!$S139</f>
        <v>283.02699999999999</v>
      </c>
      <c r="E139" s="10">
        <f>[1]N2O!$D138</f>
        <v>174.53</v>
      </c>
      <c r="F139" s="11">
        <f>[1]N2O!$S138</f>
        <v>266.88499999999999</v>
      </c>
    </row>
    <row r="140" spans="1:6" x14ac:dyDescent="0.3">
      <c r="A140" s="10">
        <f>[1]CH4!$D139</f>
        <v>1846</v>
      </c>
      <c r="B140" s="11">
        <f>[1]CH4!$S139</f>
        <v>779.81700000000001</v>
      </c>
      <c r="C140" s="10">
        <f>[1]CO2!$D140</f>
        <v>1855</v>
      </c>
      <c r="D140" s="11">
        <f>[1]CO2!$S140</f>
        <v>285.55599999999998</v>
      </c>
      <c r="E140" s="10">
        <f>[1]N2O!$D139</f>
        <v>153.53</v>
      </c>
      <c r="F140" s="11">
        <f>[1]N2O!$S139</f>
        <v>265.88799999999998</v>
      </c>
    </row>
    <row r="141" spans="1:6" x14ac:dyDescent="0.3">
      <c r="A141" s="10">
        <f>[1]CH4!$D140</f>
        <v>1844.9</v>
      </c>
      <c r="B141" s="11">
        <f>[1]CH4!$S140</f>
        <v>782.81600000000003</v>
      </c>
      <c r="C141" s="10">
        <f>[1]CO2!$D141</f>
        <v>1854</v>
      </c>
      <c r="D141" s="11">
        <f>[1]CO2!$S141</f>
        <v>288.113</v>
      </c>
      <c r="E141" s="10">
        <f>[1]N2O!$D140</f>
        <v>1894.1</v>
      </c>
      <c r="F141" s="11">
        <f>[1]N2O!$S140</f>
        <v>277.91199999999998</v>
      </c>
    </row>
    <row r="142" spans="1:6" x14ac:dyDescent="0.3">
      <c r="A142" s="10">
        <f>[1]CH4!$D141</f>
        <v>1844.9</v>
      </c>
      <c r="B142" s="11">
        <f>[1]CH4!$S141</f>
        <v>782.91700000000003</v>
      </c>
      <c r="C142" s="10">
        <f>[1]CO2!$D142</f>
        <v>1851.3</v>
      </c>
      <c r="D142" s="11">
        <f>[1]CO2!$S142</f>
        <v>285.46899999999999</v>
      </c>
      <c r="E142" s="10">
        <f>[1]N2O!$D141</f>
        <v>1957.8</v>
      </c>
      <c r="F142" s="11">
        <f>[1]N2O!$S141</f>
        <v>290.50900000000001</v>
      </c>
    </row>
    <row r="143" spans="1:6" x14ac:dyDescent="0.3">
      <c r="A143" s="10">
        <f>[1]CH4!$D142</f>
        <v>1844</v>
      </c>
      <c r="B143" s="11">
        <f>[1]CH4!$S142</f>
        <v>769.221</v>
      </c>
      <c r="C143" s="10">
        <f>[1]CO2!$D143</f>
        <v>1850.5</v>
      </c>
      <c r="D143" s="11">
        <f>[1]CO2!$S143</f>
        <v>283.86700000000002</v>
      </c>
      <c r="E143" s="10">
        <f>[1]N2O!$D142</f>
        <v>1859.1</v>
      </c>
      <c r="F143" s="11">
        <f>[1]N2O!$S142</f>
        <v>274.137</v>
      </c>
    </row>
    <row r="144" spans="1:6" x14ac:dyDescent="0.3">
      <c r="A144" s="10">
        <f>[1]CH4!$D143</f>
        <v>1843.17</v>
      </c>
      <c r="B144" s="11">
        <f>[1]CH4!$S143</f>
        <v>770.10799999999995</v>
      </c>
      <c r="C144" s="10">
        <f>[1]CO2!$D144</f>
        <v>1846</v>
      </c>
      <c r="D144" s="11">
        <f>[1]CO2!$S144</f>
        <v>282.86200000000002</v>
      </c>
      <c r="E144" s="10">
        <f>[1]N2O!$D143</f>
        <v>1825.5</v>
      </c>
      <c r="F144" s="11">
        <f>[1]N2O!$S143</f>
        <v>271.108</v>
      </c>
    </row>
    <row r="145" spans="1:6" x14ac:dyDescent="0.3">
      <c r="A145" s="10">
        <f>[1]CH4!$D144</f>
        <v>1842</v>
      </c>
      <c r="B145" s="11">
        <f>[1]CH4!$S144</f>
        <v>775.61599999999999</v>
      </c>
      <c r="C145" s="10">
        <f>[1]CO2!$D145</f>
        <v>1846</v>
      </c>
      <c r="D145" s="11">
        <f>[1]CO2!$S145</f>
        <v>284.52199999999999</v>
      </c>
      <c r="E145" s="10">
        <f>[1]N2O!$D144</f>
        <v>1760</v>
      </c>
      <c r="F145" s="11">
        <f>[1]N2O!$S144</f>
        <v>271.05399999999997</v>
      </c>
    </row>
    <row r="146" spans="1:6" x14ac:dyDescent="0.3">
      <c r="A146" s="10">
        <f>[1]CH4!$D145</f>
        <v>1840.9</v>
      </c>
      <c r="B146" s="11">
        <f>[1]CH4!$S145</f>
        <v>767.654</v>
      </c>
      <c r="C146" s="10">
        <f>[1]CO2!$D146</f>
        <v>1845.13</v>
      </c>
      <c r="D146" s="11">
        <f>[1]CO2!$S146</f>
        <v>283.048</v>
      </c>
      <c r="E146" s="10">
        <f>[1]N2O!$D145</f>
        <v>1847.7</v>
      </c>
      <c r="F146" s="11">
        <f>[1]N2O!$S145</f>
        <v>272.57499999999999</v>
      </c>
    </row>
    <row r="147" spans="1:6" x14ac:dyDescent="0.3">
      <c r="A147" s="10">
        <f>[1]CH4!$D146</f>
        <v>1840.7</v>
      </c>
      <c r="B147" s="11">
        <f>[1]CH4!$S146</f>
        <v>769.78800000000001</v>
      </c>
      <c r="C147" s="10">
        <f>[1]CO2!$D147</f>
        <v>1845</v>
      </c>
      <c r="D147" s="11">
        <f>[1]CO2!$S147</f>
        <v>283.39499999999998</v>
      </c>
      <c r="E147" s="10">
        <f>[1]N2O!$D146</f>
        <v>1907.2</v>
      </c>
      <c r="F147" s="11">
        <f>[1]N2O!$S146</f>
        <v>279.77199999999999</v>
      </c>
    </row>
    <row r="148" spans="1:6" x14ac:dyDescent="0.3">
      <c r="A148" s="10">
        <f>[1]CH4!$D147</f>
        <v>1840.1</v>
      </c>
      <c r="B148" s="11">
        <f>[1]CH4!$S147</f>
        <v>760.37900000000002</v>
      </c>
      <c r="C148" s="10">
        <f>[1]CO2!$D148</f>
        <v>1843.9</v>
      </c>
      <c r="D148" s="11">
        <f>[1]CO2!$S148</f>
        <v>282.04899999999998</v>
      </c>
      <c r="E148" s="10">
        <f>[1]N2O!$D147</f>
        <v>1939.1</v>
      </c>
      <c r="F148" s="11">
        <f>[1]N2O!$S147</f>
        <v>286.22000000000003</v>
      </c>
    </row>
    <row r="149" spans="1:6" x14ac:dyDescent="0.3">
      <c r="A149" s="10">
        <f>[1]CH4!$D148</f>
        <v>1838.63</v>
      </c>
      <c r="B149" s="11">
        <f>[1]CH4!$S148</f>
        <v>760.46900000000005</v>
      </c>
      <c r="C149" s="10">
        <f>[1]CO2!$D149</f>
        <v>1843.9</v>
      </c>
      <c r="D149" s="11">
        <f>[1]CO2!$S149</f>
        <v>280.84300000000002</v>
      </c>
      <c r="E149" s="10">
        <f>[1]N2O!$D148</f>
        <v>1817.1</v>
      </c>
      <c r="F149" s="11">
        <f>[1]N2O!$S148</f>
        <v>272.70499999999998</v>
      </c>
    </row>
    <row r="150" spans="1:6" x14ac:dyDescent="0.3">
      <c r="A150" s="10">
        <f>[1]CH4!$D149</f>
        <v>1980.07</v>
      </c>
      <c r="B150" s="11">
        <f>[1]CH4!$S149</f>
        <v>1496.62</v>
      </c>
      <c r="C150" s="10">
        <f>[1]CO2!$D150</f>
        <v>1843</v>
      </c>
      <c r="D150" s="11">
        <f>[1]CO2!$S150</f>
        <v>282.70999999999998</v>
      </c>
      <c r="E150" s="12">
        <f>[1]N2O_firn!$AO3</f>
        <v>1996.2548280000001</v>
      </c>
      <c r="F150" s="12">
        <f>[1]N2O_firn!$AP3</f>
        <v>311.47500000000002</v>
      </c>
    </row>
    <row r="151" spans="1:6" x14ac:dyDescent="0.3">
      <c r="A151" s="10">
        <f>[1]CH4!$D150</f>
        <v>1979.94</v>
      </c>
      <c r="B151" s="11">
        <f>[1]CH4!$S150</f>
        <v>1496.0719999999999</v>
      </c>
      <c r="C151" s="10">
        <f>[1]CO2!$D151</f>
        <v>1842.17</v>
      </c>
      <c r="D151" s="11">
        <f>[1]CO2!$S151</f>
        <v>282.82499999999999</v>
      </c>
      <c r="E151" s="12">
        <f>[1]N2O_firn!$AO4</f>
        <v>1994.4338829999999</v>
      </c>
      <c r="F151" s="12">
        <f>[1]N2O_firn!$AP4</f>
        <v>310.22000000000003</v>
      </c>
    </row>
    <row r="152" spans="1:6" x14ac:dyDescent="0.3">
      <c r="A152" s="10">
        <f>[1]CH4!$D151</f>
        <v>1977.18</v>
      </c>
      <c r="B152" s="11">
        <f>[1]CH4!$S151</f>
        <v>1475.6590000000001</v>
      </c>
      <c r="C152" s="10">
        <f>[1]CO2!$D152</f>
        <v>1841</v>
      </c>
      <c r="D152" s="11">
        <f>[1]CO2!$S152</f>
        <v>283.64400000000001</v>
      </c>
      <c r="E152" s="12">
        <f>[1]N2O_firn!$AO5</f>
        <v>1992.0084260000001</v>
      </c>
      <c r="F152" s="12">
        <f>[1]N2O_firn!$AP5</f>
        <v>308.87</v>
      </c>
    </row>
    <row r="153" spans="1:6" x14ac:dyDescent="0.3">
      <c r="A153" s="10">
        <f>[1]CH4!$D152</f>
        <v>1975</v>
      </c>
      <c r="B153" s="11">
        <f>[1]CH4!$S152</f>
        <v>1436.85</v>
      </c>
      <c r="C153" s="10">
        <f>[1]CO2!$D153</f>
        <v>1979.07</v>
      </c>
      <c r="D153" s="11">
        <f>[1]CO2!$S153</f>
        <v>335.53399999999999</v>
      </c>
      <c r="E153" s="12">
        <f>[1]N2O_firn!$AO6</f>
        <v>1989.593791</v>
      </c>
      <c r="F153" s="12">
        <f>[1]N2O_firn!$AP6</f>
        <v>307.01</v>
      </c>
    </row>
    <row r="154" spans="1:6" x14ac:dyDescent="0.3">
      <c r="A154" s="10">
        <f>[1]CH4!$D153</f>
        <v>1973.18</v>
      </c>
      <c r="B154" s="11">
        <f>[1]CH4!$S153</f>
        <v>1434.221</v>
      </c>
      <c r="C154" s="10">
        <f>[1]CO2!$D154</f>
        <v>1978.94</v>
      </c>
      <c r="D154" s="11">
        <f>[1]CO2!$S154</f>
        <v>332.358</v>
      </c>
      <c r="E154" s="12">
        <f>[1]N2O_firn!$AO7</f>
        <v>1982.9220270000001</v>
      </c>
      <c r="F154" s="12">
        <f>[1]N2O_firn!$AP7</f>
        <v>303.01</v>
      </c>
    </row>
    <row r="155" spans="1:6" x14ac:dyDescent="0.3">
      <c r="A155" s="10">
        <f>[1]CH4!$D154</f>
        <v>1972.71</v>
      </c>
      <c r="B155" s="11">
        <f>[1]CH4!$S154</f>
        <v>1401.8320000000001</v>
      </c>
      <c r="C155" s="10">
        <f>[1]CO2!$D155</f>
        <v>1976.18</v>
      </c>
      <c r="D155" s="11">
        <f>[1]CO2!$S155</f>
        <v>331.53100000000001</v>
      </c>
      <c r="E155" s="12">
        <f>[1]N2O_firn!$AO8</f>
        <v>1969.7100740000001</v>
      </c>
      <c r="F155" s="12">
        <f>[1]N2O_firn!$AP8</f>
        <v>295.41499999999996</v>
      </c>
    </row>
    <row r="156" spans="1:6" x14ac:dyDescent="0.3">
      <c r="A156" s="10">
        <f>[1]CH4!$D155</f>
        <v>1971.92</v>
      </c>
      <c r="B156" s="11">
        <f>[1]CH4!$S155</f>
        <v>1395.9349999999999</v>
      </c>
      <c r="C156" s="10">
        <f>[1]CO2!$D156</f>
        <v>1974</v>
      </c>
      <c r="D156" s="11">
        <f>[1]CO2!$S156</f>
        <v>328.39</v>
      </c>
      <c r="E156" s="12">
        <f>[1]N2O_firn!$AO9</f>
        <v>1955.8193389999999</v>
      </c>
      <c r="F156" s="12">
        <f>[1]N2O_firn!$AP9</f>
        <v>291.47666666666669</v>
      </c>
    </row>
    <row r="157" spans="1:6" x14ac:dyDescent="0.3">
      <c r="A157" s="10">
        <f>[1]CH4!$D156</f>
        <v>1971.46</v>
      </c>
      <c r="B157" s="11">
        <f>[1]CH4!$S156</f>
        <v>1396.3520000000001</v>
      </c>
      <c r="C157" s="10">
        <f>[1]CO2!$D157</f>
        <v>1972.45</v>
      </c>
      <c r="D157" s="11">
        <f>[1]CO2!$S157</f>
        <v>326.39299999999997</v>
      </c>
      <c r="E157" s="12">
        <f>[1]N2O_firn!$AO10</f>
        <v>1942.257388</v>
      </c>
      <c r="F157" s="12">
        <f>[1]N2O_firn!$AP10</f>
        <v>288.82749999999999</v>
      </c>
    </row>
    <row r="158" spans="1:6" x14ac:dyDescent="0.3">
      <c r="A158" s="10">
        <f>[1]CH4!$D157</f>
        <v>1968.93</v>
      </c>
      <c r="B158" s="11">
        <f>[1]CH4!$S157</f>
        <v>1325.674</v>
      </c>
      <c r="C158" s="10">
        <f>[1]CO2!$D158</f>
        <v>1972.18</v>
      </c>
      <c r="D158" s="11">
        <f>[1]CO2!$S158</f>
        <v>326.52999999999997</v>
      </c>
      <c r="E158" s="13">
        <f>[1]N2O_firn!$CG3</f>
        <v>1993.08</v>
      </c>
      <c r="F158" s="13">
        <f>[1]N2O_firn!$CH3</f>
        <v>308.95</v>
      </c>
    </row>
    <row r="159" spans="1:6" x14ac:dyDescent="0.3">
      <c r="A159" s="10">
        <f>[1]CH4!$D158</f>
        <v>1968.33</v>
      </c>
      <c r="B159" s="11">
        <f>[1]CH4!$S158</f>
        <v>1334.55</v>
      </c>
      <c r="C159" s="10">
        <f>[1]CO2!$D159</f>
        <v>1971.71</v>
      </c>
      <c r="D159" s="11">
        <f>[1]CO2!$S159</f>
        <v>324.54000000000002</v>
      </c>
      <c r="E159" s="13">
        <f>[1]N2O_firn!CG4</f>
        <v>1992.1882660000001</v>
      </c>
      <c r="F159" s="13">
        <f>[1]N2O_firn!CH4</f>
        <v>308.05500000000001</v>
      </c>
    </row>
    <row r="160" spans="1:6" x14ac:dyDescent="0.3">
      <c r="A160" s="10">
        <f>[1]CH4!$D159</f>
        <v>1963.43</v>
      </c>
      <c r="B160" s="11">
        <f>[1]CH4!$S159</f>
        <v>1247.7139999999999</v>
      </c>
      <c r="C160" s="10">
        <f>[1]CO2!$D160</f>
        <v>1970.92</v>
      </c>
      <c r="D160" s="11">
        <f>[1]CO2!$S160</f>
        <v>325.50099999999998</v>
      </c>
      <c r="E160" s="13">
        <f>[1]N2O_firn!CG5</f>
        <v>1991.723127</v>
      </c>
      <c r="F160" s="13">
        <f>[1]N2O_firn!CH5</f>
        <v>307.83</v>
      </c>
    </row>
    <row r="161" spans="1:6" x14ac:dyDescent="0.3">
      <c r="A161" s="10">
        <f>[1]CH4!$D160</f>
        <v>1961.92</v>
      </c>
      <c r="B161" s="11">
        <f>[1]CH4!$S160</f>
        <v>1225.7370000000001</v>
      </c>
      <c r="C161" s="10">
        <f>[1]CO2!$D161</f>
        <v>1970.46</v>
      </c>
      <c r="D161" s="11">
        <f>[1]CO2!$S161</f>
        <v>325.03899999999999</v>
      </c>
      <c r="E161" s="13">
        <f>[1]N2O_firn!CG6</f>
        <v>1991.279051</v>
      </c>
      <c r="F161" s="13">
        <f>[1]N2O_firn!CH6</f>
        <v>307.3</v>
      </c>
    </row>
    <row r="162" spans="1:6" x14ac:dyDescent="0.3">
      <c r="A162" s="10">
        <f>[1]CH4!$D161</f>
        <v>1949.64</v>
      </c>
      <c r="B162" s="11">
        <f>[1]CH4!$S161</f>
        <v>1115.145</v>
      </c>
      <c r="C162" s="10">
        <f>[1]CO2!$D162</f>
        <v>1967.93</v>
      </c>
      <c r="D162" s="11">
        <f>[1]CO2!$S162</f>
        <v>322.26</v>
      </c>
      <c r="E162" s="13">
        <f>[1]N2O_firn!CG7</f>
        <v>1990.457678</v>
      </c>
      <c r="F162" s="13">
        <f>[1]N2O_firn!CH7</f>
        <v>306.41499999999996</v>
      </c>
    </row>
    <row r="163" spans="1:6" x14ac:dyDescent="0.3">
      <c r="A163" s="10">
        <f>[1]CH4!$D162</f>
        <v>1948.64</v>
      </c>
      <c r="B163" s="11">
        <f>[1]CH4!$S162</f>
        <v>1115.175</v>
      </c>
      <c r="C163" s="10">
        <f>[1]CO2!$D163</f>
        <v>1967.33</v>
      </c>
      <c r="D163" s="11">
        <f>[1]CO2!$S163</f>
        <v>320.86</v>
      </c>
      <c r="E163" s="13">
        <f>[1]N2O_firn!CG8</f>
        <v>1989.7258830000001</v>
      </c>
      <c r="F163" s="13">
        <f>[1]N2O_firn!CH8</f>
        <v>305.36500000000001</v>
      </c>
    </row>
    <row r="164" spans="1:6" x14ac:dyDescent="0.3">
      <c r="A164" s="10">
        <f>[1]CH4!$D163</f>
        <v>1948.45</v>
      </c>
      <c r="B164" s="11">
        <f>[1]CH4!$S163</f>
        <v>1110.461</v>
      </c>
      <c r="C164" s="10">
        <f>[1]CO2!$D164</f>
        <v>1962.43</v>
      </c>
      <c r="D164" s="11">
        <f>[1]CO2!$S164</f>
        <v>317.23099999999999</v>
      </c>
      <c r="E164" s="13">
        <f>[1]N2O_firn!CG9</f>
        <v>1988.4874030000001</v>
      </c>
      <c r="F164" s="13">
        <f>[1]N2O_firn!CH9</f>
        <v>304.64999999999998</v>
      </c>
    </row>
    <row r="165" spans="1:6" x14ac:dyDescent="0.3">
      <c r="A165" s="10">
        <f>[1]CH4!$D164</f>
        <v>1948</v>
      </c>
      <c r="B165" s="11">
        <f>[1]CH4!$S164</f>
        <v>1106.0229999999999</v>
      </c>
      <c r="C165" s="10">
        <f>[1]CO2!$D165</f>
        <v>1960.92</v>
      </c>
      <c r="D165" s="11">
        <f>[1]CO2!$S165</f>
        <v>311.87099999999998</v>
      </c>
      <c r="E165" s="13">
        <f>[1]N2O_firn!CG10</f>
        <v>1988.0892899999999</v>
      </c>
      <c r="F165" s="13">
        <f>[1]N2O_firn!CH10</f>
        <v>304.14</v>
      </c>
    </row>
    <row r="166" spans="1:6" x14ac:dyDescent="0.3">
      <c r="A166" s="10">
        <f>[1]CH4!$D165</f>
        <v>1945</v>
      </c>
      <c r="B166" s="11">
        <f>[1]CH4!$S165</f>
        <v>1091.337</v>
      </c>
      <c r="C166" s="10">
        <f>[1]CO2!$D166</f>
        <v>1948.64</v>
      </c>
      <c r="D166" s="11">
        <f>[1]CO2!$S166</f>
        <v>310.35500000000002</v>
      </c>
      <c r="E166" s="13">
        <f>[1]N2O_firn!CG11</f>
        <v>1987.8104129999999</v>
      </c>
      <c r="F166" s="13">
        <f>[1]N2O_firn!CH11</f>
        <v>303.36</v>
      </c>
    </row>
    <row r="167" spans="1:6" x14ac:dyDescent="0.3">
      <c r="A167" s="10">
        <f>[1]CH4!$D166</f>
        <v>1945</v>
      </c>
      <c r="B167" s="11">
        <f>[1]CH4!$S166</f>
        <v>1084.1769999999999</v>
      </c>
      <c r="C167" s="10">
        <f>[1]CO2!$D167</f>
        <v>1947.64</v>
      </c>
      <c r="D167" s="11">
        <f>[1]CO2!$S167</f>
        <v>310.96499999999997</v>
      </c>
      <c r="E167" s="13">
        <f>[1]N2O_firn!CG12</f>
        <v>1987.0032799999999</v>
      </c>
      <c r="F167" s="13">
        <f>[1]N2O_firn!CH12</f>
        <v>302.82000000000005</v>
      </c>
    </row>
    <row r="168" spans="1:6" x14ac:dyDescent="0.3">
      <c r="A168" s="10">
        <f>[1]CH4!$D167</f>
        <v>1942.33</v>
      </c>
      <c r="B168" s="11">
        <f>[1]CH4!$S167</f>
        <v>1080.944</v>
      </c>
      <c r="C168" s="10">
        <f>[1]CO2!$D168</f>
        <v>1947.45</v>
      </c>
      <c r="D168" s="11">
        <f>[1]CO2!$S168</f>
        <v>310.80900000000003</v>
      </c>
      <c r="E168" s="13">
        <f>[1]N2O_firn!CG13</f>
        <v>1985.1076390000001</v>
      </c>
      <c r="F168" s="13">
        <f>[1]N2O_firn!CH13</f>
        <v>301.66499999999996</v>
      </c>
    </row>
    <row r="169" spans="1:6" x14ac:dyDescent="0.3">
      <c r="A169" s="10">
        <f>[1]CH4!$D168</f>
        <v>1940.64</v>
      </c>
      <c r="B169" s="11">
        <f>[1]CH4!$S168</f>
        <v>1076.2439999999999</v>
      </c>
      <c r="C169" s="10">
        <f>[1]CO2!$D169</f>
        <v>1947</v>
      </c>
      <c r="D169" s="11">
        <f>[1]CO2!$S169</f>
        <v>310.33999999999997</v>
      </c>
      <c r="E169" s="13">
        <f>[1]N2O_firn!CG14</f>
        <v>1981.2877060000001</v>
      </c>
      <c r="F169" s="13">
        <f>[1]N2O_firn!CH14</f>
        <v>299.78999999999996</v>
      </c>
    </row>
    <row r="170" spans="1:6" x14ac:dyDescent="0.3">
      <c r="A170" s="10">
        <f>[1]CH4!$D169</f>
        <v>1936.36</v>
      </c>
      <c r="B170" s="11">
        <f>[1]CH4!$S169</f>
        <v>1056.7909999999999</v>
      </c>
      <c r="C170" s="10">
        <f>[1]CO2!$D170</f>
        <v>1944</v>
      </c>
      <c r="D170" s="11">
        <f>[1]CO2!$S170</f>
        <v>311.80399999999997</v>
      </c>
      <c r="E170" s="13">
        <f>[1]N2O_firn!CG15</f>
        <v>1977.8382019999999</v>
      </c>
      <c r="F170" s="13">
        <f>[1]N2O_firn!CH15</f>
        <v>298.67</v>
      </c>
    </row>
    <row r="171" spans="1:6" x14ac:dyDescent="0.3">
      <c r="A171" s="10">
        <f>[1]CH4!$D170</f>
        <v>1927</v>
      </c>
      <c r="B171" s="11">
        <f>[1]CH4!$S170</f>
        <v>1004.369</v>
      </c>
      <c r="C171" s="10">
        <f>[1]CO2!$D171</f>
        <v>1944</v>
      </c>
      <c r="D171" s="11">
        <f>[1]CO2!$S171</f>
        <v>313.7</v>
      </c>
    </row>
    <row r="172" spans="1:6" x14ac:dyDescent="0.3">
      <c r="A172" s="10">
        <f>[1]CH4!$D171</f>
        <v>1833</v>
      </c>
      <c r="B172" s="11">
        <f>[1]CH4!$S171</f>
        <v>764.36500000000001</v>
      </c>
      <c r="C172" s="10">
        <f>[1]CO2!$D172</f>
        <v>1941.33</v>
      </c>
      <c r="D172" s="11">
        <f>[1]CO2!$S172</f>
        <v>310.94299999999998</v>
      </c>
    </row>
    <row r="173" spans="1:6" x14ac:dyDescent="0.3">
      <c r="A173" s="10">
        <f>[1]CH4!$D172</f>
        <v>1962.72</v>
      </c>
      <c r="B173" s="11">
        <f>[1]CH4!$S172</f>
        <v>1231.896</v>
      </c>
      <c r="C173" s="10">
        <f>[1]CO2!$D173</f>
        <v>1939.64</v>
      </c>
      <c r="D173" s="11">
        <f>[1]CO2!$S173</f>
        <v>312.02300000000002</v>
      </c>
    </row>
    <row r="174" spans="1:6" x14ac:dyDescent="0.3">
      <c r="A174" s="10">
        <f>[1]CH4!$D173</f>
        <v>1957.16</v>
      </c>
      <c r="B174" s="11">
        <f>[1]CH4!$S173</f>
        <v>1177.8409999999999</v>
      </c>
      <c r="C174" s="10">
        <f>[1]CO2!$D174</f>
        <v>1935.36</v>
      </c>
      <c r="D174" s="11">
        <f>[1]CO2!$S174</f>
        <v>309.62299999999999</v>
      </c>
    </row>
    <row r="175" spans="1:6" x14ac:dyDescent="0.3">
      <c r="A175" s="10">
        <f>[1]CH4!$D174</f>
        <v>1957.16</v>
      </c>
      <c r="B175" s="11">
        <f>[1]CH4!$S174</f>
        <v>1196.8879999999999</v>
      </c>
      <c r="C175" s="10">
        <f>[1]CO2!$D175</f>
        <v>1926</v>
      </c>
      <c r="D175" s="11">
        <f>[1]CO2!$S175</f>
        <v>303.73599999999999</v>
      </c>
    </row>
    <row r="176" spans="1:6" x14ac:dyDescent="0.3">
      <c r="A176" s="10">
        <f>[1]CH4!$D175</f>
        <v>1957.16</v>
      </c>
      <c r="B176" s="11">
        <f>[1]CH4!$S175</f>
        <v>1184.691</v>
      </c>
      <c r="C176" s="10">
        <f>[1]CO2!$D176</f>
        <v>1833</v>
      </c>
      <c r="D176" s="11">
        <f>[1]CO2!$S176</f>
        <v>285.08199999999999</v>
      </c>
    </row>
    <row r="177" spans="1:4" x14ac:dyDescent="0.3">
      <c r="A177" s="10">
        <f>[1]CH4!$D176</f>
        <v>1951.25</v>
      </c>
      <c r="B177" s="11">
        <f>[1]CH4!$S176</f>
        <v>1115.338</v>
      </c>
      <c r="C177" s="10">
        <f>[1]CO2!$D177</f>
        <v>1961.72</v>
      </c>
      <c r="D177" s="11">
        <f>[1]CO2!$S177</f>
        <v>316.49900000000002</v>
      </c>
    </row>
    <row r="178" spans="1:4" x14ac:dyDescent="0.3">
      <c r="A178" s="10">
        <f>[1]CH4!$D177</f>
        <v>1940.97</v>
      </c>
      <c r="B178" s="11">
        <f>[1]CH4!$S177</f>
        <v>1067.32</v>
      </c>
      <c r="C178" s="10">
        <f>[1]CO2!$D178</f>
        <v>1956.16</v>
      </c>
      <c r="D178" s="11">
        <f>[1]CO2!$S178</f>
        <v>314.35199999999998</v>
      </c>
    </row>
    <row r="179" spans="1:4" x14ac:dyDescent="0.3">
      <c r="A179" s="10">
        <f>[1]CH4!$D178</f>
        <v>1939.16</v>
      </c>
      <c r="B179" s="11">
        <f>[1]CH4!$S178</f>
        <v>1064.1400000000001</v>
      </c>
      <c r="C179" s="10">
        <f>[1]CO2!$D179</f>
        <v>1956.16</v>
      </c>
      <c r="D179" s="11">
        <f>[1]CO2!$S179</f>
        <v>315.435</v>
      </c>
    </row>
    <row r="180" spans="1:4" x14ac:dyDescent="0.3">
      <c r="A180" s="10">
        <f>[1]CH4!$D179</f>
        <v>1929.74</v>
      </c>
      <c r="B180" s="11">
        <f>[1]CH4!$S179</f>
        <v>1017.511</v>
      </c>
      <c r="C180" s="10">
        <f>[1]CO2!$D180</f>
        <v>1956.16</v>
      </c>
      <c r="D180" s="11">
        <f>[1]CO2!$S180</f>
        <v>315.935</v>
      </c>
    </row>
    <row r="181" spans="1:4" x14ac:dyDescent="0.3">
      <c r="A181" s="10">
        <f>[1]CH4!$D180</f>
        <v>1929.16</v>
      </c>
      <c r="B181" s="11">
        <f>[1]CH4!$S180</f>
        <v>1008.026</v>
      </c>
      <c r="C181" s="10">
        <f>[1]CO2!$D181</f>
        <v>1950.25</v>
      </c>
      <c r="D181" s="11">
        <f>[1]CO2!$S181</f>
        <v>311.99200000000002</v>
      </c>
    </row>
    <row r="182" spans="1:4" x14ac:dyDescent="0.3">
      <c r="A182" s="10">
        <f>[1]CH4!$D181</f>
        <v>1902.7</v>
      </c>
      <c r="B182" s="11">
        <f>[1]CH4!$S181</f>
        <v>878.35799999999995</v>
      </c>
      <c r="C182" s="10">
        <f>[1]CO2!$D182</f>
        <v>1939.97</v>
      </c>
      <c r="D182" s="11">
        <f>[1]CO2!$S182</f>
        <v>309.738</v>
      </c>
    </row>
    <row r="183" spans="1:4" x14ac:dyDescent="0.3">
      <c r="A183" s="10">
        <f>[1]CH4!$D182</f>
        <v>1885.18</v>
      </c>
      <c r="B183" s="11">
        <f>[1]CH4!$S182</f>
        <v>856.23199999999997</v>
      </c>
      <c r="C183" s="10">
        <f>[1]CO2!$D183</f>
        <v>1938.16</v>
      </c>
      <c r="D183" s="11">
        <f>[1]CO2!$S183</f>
        <v>308.47000000000003</v>
      </c>
    </row>
    <row r="184" spans="1:4" x14ac:dyDescent="0.3">
      <c r="A184" s="10">
        <f>[1]CH4!$D183</f>
        <v>1868.73</v>
      </c>
      <c r="B184" s="11">
        <f>[1]CH4!$S183</f>
        <v>813.02700000000004</v>
      </c>
      <c r="C184" s="10">
        <f>[1]CO2!$D184</f>
        <v>1928.74</v>
      </c>
      <c r="D184" s="11">
        <f>[1]CO2!$S184</f>
        <v>305.71300000000002</v>
      </c>
    </row>
    <row r="185" spans="1:4" x14ac:dyDescent="0.3">
      <c r="A185" s="10">
        <f>[1]CH4!$D184</f>
        <v>1867.72</v>
      </c>
      <c r="B185" s="11">
        <f>[1]CH4!$S184</f>
        <v>806.07899999999995</v>
      </c>
      <c r="C185" s="10">
        <f>[1]CO2!$D185</f>
        <v>1928.16</v>
      </c>
      <c r="D185" s="11">
        <f>[1]CO2!$S185</f>
        <v>305.654</v>
      </c>
    </row>
    <row r="186" spans="1:4" x14ac:dyDescent="0.3">
      <c r="A186" s="10">
        <f>[1]CH4!$D185</f>
        <v>1862.23</v>
      </c>
      <c r="B186" s="11">
        <f>[1]CH4!$S185</f>
        <v>789.57</v>
      </c>
      <c r="C186" s="10">
        <f>[1]CO2!$D186</f>
        <v>1905.77</v>
      </c>
      <c r="D186" s="11">
        <f>[1]CO2!$S186</f>
        <v>299.548</v>
      </c>
    </row>
    <row r="187" spans="1:4" x14ac:dyDescent="0.3">
      <c r="A187" s="10">
        <f>[1]CH4!$D186</f>
        <v>1851.83</v>
      </c>
      <c r="B187" s="11">
        <f>[1]CH4!$S186</f>
        <v>785.05899999999997</v>
      </c>
      <c r="C187" s="10">
        <f>[1]CO2!$D187</f>
        <v>1901.7</v>
      </c>
      <c r="D187" s="11">
        <f>[1]CO2!$S187</f>
        <v>297.12700000000001</v>
      </c>
    </row>
    <row r="188" spans="1:4" x14ac:dyDescent="0.3">
      <c r="A188" s="10">
        <f>[1]CH4!$D187</f>
        <v>1851.09</v>
      </c>
      <c r="B188" s="11">
        <f>[1]CH4!$S187</f>
        <v>777.13599999999997</v>
      </c>
      <c r="C188" s="10">
        <f>[1]CO2!$D188</f>
        <v>1893.06</v>
      </c>
      <c r="D188" s="11">
        <f>[1]CO2!$S188</f>
        <v>295.31</v>
      </c>
    </row>
    <row r="189" spans="1:4" x14ac:dyDescent="0.3">
      <c r="A189" s="10">
        <f>[1]CH4!$D188</f>
        <v>1848.32</v>
      </c>
      <c r="B189" s="11">
        <f>[1]CH4!$S188</f>
        <v>772.54200000000003</v>
      </c>
      <c r="C189" s="10">
        <f>[1]CO2!$D189</f>
        <v>1884.18</v>
      </c>
      <c r="D189" s="11">
        <f>[1]CO2!$S189</f>
        <v>289.363</v>
      </c>
    </row>
    <row r="190" spans="1:4" x14ac:dyDescent="0.3">
      <c r="A190" s="10">
        <f>[1]CH4!$D189</f>
        <v>1844.07</v>
      </c>
      <c r="B190" s="11">
        <f>[1]CH4!$S189</f>
        <v>772.71</v>
      </c>
      <c r="C190" s="10">
        <f>[1]CO2!$D190</f>
        <v>1867.73</v>
      </c>
      <c r="D190" s="11">
        <f>[1]CO2!$S190</f>
        <v>288.13200000000001</v>
      </c>
    </row>
    <row r="191" spans="1:4" x14ac:dyDescent="0.3">
      <c r="A191" s="10">
        <f>[1]CH4!$D190</f>
        <v>1840.38</v>
      </c>
      <c r="B191" s="11">
        <f>[1]CH4!$S190</f>
        <v>770.69100000000003</v>
      </c>
      <c r="C191" s="10">
        <f>[1]CO2!$D191</f>
        <v>1850.83</v>
      </c>
      <c r="D191" s="11">
        <f>[1]CO2!$S191</f>
        <v>288.92700000000002</v>
      </c>
    </row>
    <row r="192" spans="1:4" x14ac:dyDescent="0.3">
      <c r="A192" s="10">
        <f>[1]CH4!$D191</f>
        <v>1837.7</v>
      </c>
      <c r="B192" s="11">
        <f>[1]CH4!$S191</f>
        <v>774.55399999999997</v>
      </c>
      <c r="C192" s="10">
        <f>[1]CO2!$D192</f>
        <v>1847.32</v>
      </c>
      <c r="D192" s="11">
        <f>[1]CO2!$S192</f>
        <v>286.83</v>
      </c>
    </row>
    <row r="193" spans="1:4" x14ac:dyDescent="0.3">
      <c r="A193" s="10">
        <f>[1]CH4!$D192</f>
        <v>1834.18</v>
      </c>
      <c r="B193" s="11">
        <f>[1]CH4!$S192</f>
        <v>776.92200000000003</v>
      </c>
      <c r="C193" s="10">
        <f>[1]CO2!$D193</f>
        <v>1836.7</v>
      </c>
      <c r="D193" s="11">
        <f>[1]CO2!$S193</f>
        <v>284.28500000000003</v>
      </c>
    </row>
    <row r="194" spans="1:4" x14ac:dyDescent="0.3">
      <c r="A194" s="10">
        <f>[1]CH4!$D193</f>
        <v>1827.92</v>
      </c>
      <c r="B194" s="11">
        <f>[1]CH4!$S193</f>
        <v>764.02599999999995</v>
      </c>
      <c r="C194" s="10">
        <f>[1]CO2!$D194</f>
        <v>1833.18</v>
      </c>
      <c r="D194" s="11">
        <f>[1]CO2!$S194</f>
        <v>283.95299999999997</v>
      </c>
    </row>
    <row r="195" spans="1:4" x14ac:dyDescent="0.3">
      <c r="A195" s="10">
        <f>[1]CH4!$D194</f>
        <v>1825.75</v>
      </c>
      <c r="B195" s="11">
        <f>[1]CH4!$S194</f>
        <v>760.99199999999996</v>
      </c>
      <c r="C195" s="10">
        <f>[1]CO2!$D195</f>
        <v>1826.92</v>
      </c>
      <c r="D195" s="11">
        <f>[1]CO2!$S195</f>
        <v>285.89999999999998</v>
      </c>
    </row>
    <row r="196" spans="1:4" x14ac:dyDescent="0.3">
      <c r="A196" s="10">
        <f>[1]CH4!$D195</f>
        <v>1814.66</v>
      </c>
      <c r="B196" s="11">
        <f>[1]CH4!$S195</f>
        <v>745.63599999999997</v>
      </c>
      <c r="C196" s="10">
        <f>[1]CO2!$D196</f>
        <v>1824.75</v>
      </c>
      <c r="D196" s="11">
        <f>[1]CO2!$S196</f>
        <v>281.49299999999999</v>
      </c>
    </row>
    <row r="197" spans="1:4" x14ac:dyDescent="0.3">
      <c r="A197" s="10">
        <f>[1]CH4!$D196</f>
        <v>1800.34</v>
      </c>
      <c r="B197" s="11">
        <f>[1]CH4!$S196</f>
        <v>735.84100000000001</v>
      </c>
      <c r="C197" s="10">
        <f>[1]CO2!$D197</f>
        <v>1813.66</v>
      </c>
      <c r="D197" s="11">
        <f>[1]CO2!$S197</f>
        <v>284.56400000000002</v>
      </c>
    </row>
    <row r="198" spans="1:4" x14ac:dyDescent="0.3">
      <c r="A198" s="10">
        <f>[1]CH4!$D197</f>
        <v>1800.34</v>
      </c>
      <c r="B198" s="11">
        <f>[1]CH4!$S197</f>
        <v>739.44500000000005</v>
      </c>
      <c r="C198" s="10">
        <f>[1]CO2!$D198</f>
        <v>1799.34</v>
      </c>
      <c r="D198" s="11">
        <f>[1]CO2!$S198</f>
        <v>284.36099999999999</v>
      </c>
    </row>
    <row r="199" spans="1:4" x14ac:dyDescent="0.3">
      <c r="A199" s="10">
        <f>[1]CH4!$D198</f>
        <v>1797.47</v>
      </c>
      <c r="B199" s="11">
        <f>[1]CH4!$S198</f>
        <v>728.94500000000005</v>
      </c>
      <c r="C199" s="10">
        <f>[1]CO2!$D199</f>
        <v>1799.34</v>
      </c>
      <c r="D199" s="11">
        <f>[1]CO2!$S199</f>
        <v>281.36200000000002</v>
      </c>
    </row>
    <row r="200" spans="1:4" x14ac:dyDescent="0.3">
      <c r="A200" s="10">
        <f>[1]CH4!$D199</f>
        <v>1796.94</v>
      </c>
      <c r="B200" s="11">
        <f>[1]CH4!$S199</f>
        <v>724.10599999999999</v>
      </c>
      <c r="C200" s="10">
        <f>[1]CO2!$D200</f>
        <v>1796.47</v>
      </c>
      <c r="D200" s="11">
        <f>[1]CO2!$S200</f>
        <v>279.416</v>
      </c>
    </row>
    <row r="201" spans="1:4" x14ac:dyDescent="0.3">
      <c r="A201" s="10">
        <f>[1]CH4!$D200</f>
        <v>1795.1</v>
      </c>
      <c r="B201" s="11">
        <f>[1]CH4!$S200</f>
        <v>726.87300000000005</v>
      </c>
      <c r="C201" s="10">
        <f>[1]CO2!$D201</f>
        <v>1795.94</v>
      </c>
      <c r="D201" s="11">
        <f>[1]CO2!$S201</f>
        <v>282.298</v>
      </c>
    </row>
    <row r="202" spans="1:4" x14ac:dyDescent="0.3">
      <c r="A202" s="10">
        <f>[1]CH4!$D201</f>
        <v>1781.3</v>
      </c>
      <c r="B202" s="11">
        <f>[1]CH4!$S201</f>
        <v>727.303</v>
      </c>
      <c r="C202" s="10">
        <f>[1]CO2!$D202</f>
        <v>1794.1</v>
      </c>
      <c r="D202" s="11">
        <f>[1]CO2!$S202</f>
        <v>281.75</v>
      </c>
    </row>
    <row r="203" spans="1:4" x14ac:dyDescent="0.3">
      <c r="A203" s="10">
        <f>[1]CH4!$D202</f>
        <v>1780.49</v>
      </c>
      <c r="B203" s="11">
        <f>[1]CH4!$S202</f>
        <v>721.50400000000002</v>
      </c>
      <c r="C203" s="10">
        <f>[1]CO2!$D203</f>
        <v>1780.3</v>
      </c>
      <c r="D203" s="11">
        <f>[1]CO2!$S203</f>
        <v>273.21199999999999</v>
      </c>
    </row>
    <row r="204" spans="1:4" x14ac:dyDescent="0.3">
      <c r="A204" s="10">
        <f>[1]CH4!$D203</f>
        <v>1774.46</v>
      </c>
      <c r="B204" s="11">
        <f>[1]CH4!$S203</f>
        <v>729.86199999999997</v>
      </c>
      <c r="C204" s="10">
        <f>[1]CO2!$D204</f>
        <v>1779.49</v>
      </c>
      <c r="D204" s="11">
        <f>[1]CO2!$S204</f>
        <v>280.22899999999998</v>
      </c>
    </row>
    <row r="205" spans="1:4" x14ac:dyDescent="0.3">
      <c r="A205" s="10">
        <f>[1]CH4!$D204</f>
        <v>1764.7</v>
      </c>
      <c r="B205" s="11">
        <f>[1]CH4!$S204</f>
        <v>715.01300000000003</v>
      </c>
      <c r="C205" s="10">
        <f>[1]CO2!$D205</f>
        <v>1773.46</v>
      </c>
      <c r="D205" s="11">
        <f>[1]CO2!$S205</f>
        <v>277.988</v>
      </c>
    </row>
    <row r="206" spans="1:4" x14ac:dyDescent="0.3">
      <c r="A206" s="10">
        <f>[1]CH4!$D205</f>
        <v>1763.88</v>
      </c>
      <c r="B206" s="11">
        <f>[1]CH4!$S205</f>
        <v>710.20500000000004</v>
      </c>
      <c r="C206" s="10">
        <f>[1]CO2!$D206</f>
        <v>1763.7</v>
      </c>
      <c r="D206" s="11">
        <f>[1]CO2!$S206</f>
        <v>276.52800000000002</v>
      </c>
    </row>
    <row r="207" spans="1:4" x14ac:dyDescent="0.3">
      <c r="A207" s="10">
        <f>[1]CH4!$D206</f>
        <v>1753.13</v>
      </c>
      <c r="B207" s="11">
        <f>[1]CH4!$S206</f>
        <v>704.327</v>
      </c>
      <c r="C207" s="10">
        <f>[1]CO2!$D207</f>
        <v>1762.88</v>
      </c>
      <c r="D207" s="11">
        <f>[1]CO2!$S207</f>
        <v>277.15600000000001</v>
      </c>
    </row>
    <row r="208" spans="1:4" x14ac:dyDescent="0.3">
      <c r="A208" s="10">
        <f>[1]CH4!$D207</f>
        <v>1753.13</v>
      </c>
      <c r="B208" s="11">
        <f>[1]CH4!$S207</f>
        <v>706.63</v>
      </c>
      <c r="C208" s="10">
        <f>[1]CO2!$D208</f>
        <v>1752.13</v>
      </c>
      <c r="D208" s="11">
        <f>[1]CO2!$S208</f>
        <v>277.99400000000003</v>
      </c>
    </row>
    <row r="209" spans="1:4" x14ac:dyDescent="0.3">
      <c r="A209" s="10">
        <f>[1]CH4!$D208</f>
        <v>1752.33</v>
      </c>
      <c r="B209" s="11">
        <f>[1]CH4!$S208</f>
        <v>712.68100000000004</v>
      </c>
      <c r="C209" s="10">
        <f>[1]CO2!$D209</f>
        <v>1752.13</v>
      </c>
      <c r="D209" s="11">
        <f>[1]CO2!$S209</f>
        <v>276.589</v>
      </c>
    </row>
    <row r="210" spans="1:4" x14ac:dyDescent="0.3">
      <c r="A210" s="10">
        <f>[1]CH4!$D209</f>
        <v>1750.12</v>
      </c>
      <c r="B210" s="11">
        <f>[1]CH4!$S209</f>
        <v>699.82799999999997</v>
      </c>
      <c r="C210" s="10">
        <f>[1]CO2!$D210</f>
        <v>1749.12</v>
      </c>
      <c r="D210" s="11">
        <f>[1]CO2!$S210</f>
        <v>277.58999999999997</v>
      </c>
    </row>
    <row r="211" spans="1:4" x14ac:dyDescent="0.3">
      <c r="A211" s="10">
        <f>[1]CH4!$D210</f>
        <v>1742.26</v>
      </c>
      <c r="B211" s="11">
        <f>[1]CH4!$S210</f>
        <v>715.33</v>
      </c>
      <c r="C211" s="10">
        <f>[1]CO2!$D211</f>
        <v>1741.26</v>
      </c>
      <c r="D211" s="11">
        <f>[1]CO2!$S211</f>
        <v>276.94099999999997</v>
      </c>
    </row>
    <row r="212" spans="1:4" x14ac:dyDescent="0.3">
      <c r="A212" s="10">
        <f>[1]CH4!$D211</f>
        <v>1734.99</v>
      </c>
      <c r="B212" s="11">
        <f>[1]CH4!$S211</f>
        <v>712.13199999999995</v>
      </c>
      <c r="C212" s="10">
        <f>[1]CO2!$D212</f>
        <v>1733.99</v>
      </c>
      <c r="D212" s="11">
        <f>[1]CO2!$S212</f>
        <v>278.44299999999998</v>
      </c>
    </row>
    <row r="213" spans="1:4" x14ac:dyDescent="0.3">
      <c r="A213" s="10">
        <f>[1]CH4!$D212</f>
        <v>1724.01</v>
      </c>
      <c r="B213" s="11">
        <f>[1]CH4!$S212</f>
        <v>684.11500000000001</v>
      </c>
      <c r="C213" s="10">
        <f>[1]CO2!$D213</f>
        <v>1723.01</v>
      </c>
      <c r="D213" s="11">
        <f>[1]CO2!$S213</f>
        <v>277.14499999999998</v>
      </c>
    </row>
    <row r="214" spans="1:4" x14ac:dyDescent="0.3">
      <c r="A214" s="10">
        <f>[1]CH4!$D213</f>
        <v>1723.86</v>
      </c>
      <c r="B214" s="11">
        <f>[1]CH4!$S213</f>
        <v>678.58699999999999</v>
      </c>
      <c r="C214" s="10">
        <f>[1]CO2!$D214</f>
        <v>1722.86</v>
      </c>
      <c r="D214" s="11">
        <f>[1]CO2!$S214</f>
        <v>278.26400000000001</v>
      </c>
    </row>
    <row r="215" spans="1:4" x14ac:dyDescent="0.3">
      <c r="A215" s="10">
        <f>[1]CH4!$D214</f>
        <v>1694.91</v>
      </c>
      <c r="B215" s="11">
        <f>[1]CH4!$S214</f>
        <v>683.39800000000002</v>
      </c>
      <c r="C215" s="10">
        <f>[1]CO2!$D215</f>
        <v>1693.91</v>
      </c>
      <c r="D215" s="11">
        <f>[1]CO2!$S215</f>
        <v>277.35000000000002</v>
      </c>
    </row>
    <row r="216" spans="1:4" x14ac:dyDescent="0.3">
      <c r="A216" s="10">
        <f>[1]CH4!$D215</f>
        <v>1690.74</v>
      </c>
      <c r="B216" s="11">
        <f>[1]CH4!$S215</f>
        <v>693.30399999999997</v>
      </c>
      <c r="C216" s="10">
        <f>[1]CO2!$D216</f>
        <v>1689.74</v>
      </c>
      <c r="D216" s="11">
        <f>[1]CO2!$S216</f>
        <v>276.45600000000002</v>
      </c>
    </row>
    <row r="217" spans="1:4" x14ac:dyDescent="0.3">
      <c r="A217" s="10">
        <f>[1]CH4!$D216</f>
        <v>1682.89</v>
      </c>
      <c r="B217" s="11">
        <f>[1]CH4!$S216</f>
        <v>698.98900000000003</v>
      </c>
      <c r="C217" s="10">
        <f>[1]CO2!$D217</f>
        <v>1681.89</v>
      </c>
      <c r="D217" s="11">
        <f>[1]CO2!$S217</f>
        <v>276.654</v>
      </c>
    </row>
    <row r="218" spans="1:4" x14ac:dyDescent="0.3">
      <c r="A218" s="10">
        <f>[1]CH4!$D217</f>
        <v>1650.1</v>
      </c>
      <c r="B218" s="11">
        <f>[1]CH4!$S217</f>
        <v>681.78</v>
      </c>
      <c r="C218" s="10">
        <f>[1]CO2!$D218</f>
        <v>1649.1</v>
      </c>
      <c r="D218" s="11">
        <f>[1]CO2!$S218</f>
        <v>278.00799999999998</v>
      </c>
    </row>
    <row r="219" spans="1:4" x14ac:dyDescent="0.3">
      <c r="A219" s="10">
        <f>[1]CH4!$D218</f>
        <v>1640.81</v>
      </c>
      <c r="B219" s="11">
        <f>[1]CH4!$S218</f>
        <v>695.76400000000001</v>
      </c>
      <c r="C219" s="10">
        <f>[1]CO2!$D219</f>
        <v>1639.81</v>
      </c>
      <c r="D219" s="11">
        <f>[1]CO2!$S219</f>
        <v>276.81900000000002</v>
      </c>
    </row>
    <row r="220" spans="1:4" x14ac:dyDescent="0.3">
      <c r="A220" s="10">
        <f>[1]CH4!$D219</f>
        <v>1629.6</v>
      </c>
      <c r="B220" s="11">
        <f>[1]CH4!$S219</f>
        <v>692.68499999999995</v>
      </c>
      <c r="C220" s="10">
        <f>[1]CO2!$D220</f>
        <v>1628.6</v>
      </c>
      <c r="D220" s="11">
        <f>[1]CO2!$S220</f>
        <v>273.92</v>
      </c>
    </row>
    <row r="221" spans="1:4" x14ac:dyDescent="0.3">
      <c r="A221" s="10">
        <f>[1]CH4!$D220</f>
        <v>1610.46</v>
      </c>
      <c r="B221" s="11">
        <f>[1]CH4!$S220</f>
        <v>687.51499999999999</v>
      </c>
      <c r="C221" s="10">
        <f>[1]CO2!$D221</f>
        <v>1609.46</v>
      </c>
      <c r="D221" s="11">
        <f>[1]CO2!$S221</f>
        <v>271.24700000000001</v>
      </c>
    </row>
    <row r="222" spans="1:4" x14ac:dyDescent="0.3">
      <c r="A222" s="10">
        <f>[1]CH4!$D221</f>
        <v>1604.42</v>
      </c>
      <c r="B222" s="11">
        <f>[1]CH4!$S221</f>
        <v>674.77599999999995</v>
      </c>
      <c r="C222" s="10">
        <f>[1]CO2!$D222</f>
        <v>1603.42</v>
      </c>
      <c r="D222" s="11">
        <f>[1]CO2!$S222</f>
        <v>275.05900000000003</v>
      </c>
    </row>
    <row r="223" spans="1:4" x14ac:dyDescent="0.3">
      <c r="A223" s="10">
        <f>[1]CH4!$D222</f>
        <v>1591.99</v>
      </c>
      <c r="B223" s="11">
        <f>[1]CH4!$S222</f>
        <v>672.29300000000001</v>
      </c>
      <c r="C223" s="10">
        <f>[1]CO2!$D223</f>
        <v>1590.99</v>
      </c>
      <c r="D223" s="11">
        <f>[1]CO2!$S223</f>
        <v>279.351</v>
      </c>
    </row>
    <row r="224" spans="1:4" x14ac:dyDescent="0.3">
      <c r="A224" s="10">
        <f>[1]CH4!$D223</f>
        <v>1589.18</v>
      </c>
      <c r="B224" s="11">
        <f>[1]CH4!$S223</f>
        <v>681.346</v>
      </c>
      <c r="C224" s="10">
        <f>[1]CO2!$D224</f>
        <v>1588.18</v>
      </c>
      <c r="D224" s="11">
        <f>[1]CO2!$S224</f>
        <v>281.24099999999999</v>
      </c>
    </row>
    <row r="225" spans="1:4" x14ac:dyDescent="0.3">
      <c r="A225" s="10">
        <f>[1]CH4!$D224</f>
        <v>1574.59</v>
      </c>
      <c r="B225" s="11">
        <f>[1]CH4!$S224</f>
        <v>692.81799999999998</v>
      </c>
      <c r="C225" s="10">
        <f>[1]CO2!$D225</f>
        <v>1573.01</v>
      </c>
      <c r="D225" s="11">
        <f>[1]CO2!$S225</f>
        <v>282.46699999999998</v>
      </c>
    </row>
    <row r="226" spans="1:4" x14ac:dyDescent="0.3">
      <c r="A226" s="10">
        <f>[1]CH4!$D225</f>
        <v>1574.01</v>
      </c>
      <c r="B226" s="11">
        <f>[1]CH4!$S225</f>
        <v>692.14700000000005</v>
      </c>
      <c r="C226" s="10">
        <f>[1]CO2!$D226</f>
        <v>1559.86</v>
      </c>
      <c r="D226" s="11">
        <f>[1]CO2!$S226</f>
        <v>281.96199999999999</v>
      </c>
    </row>
    <row r="227" spans="1:4" x14ac:dyDescent="0.3">
      <c r="A227" s="10">
        <f>[1]CH4!$D226</f>
        <v>1560.86</v>
      </c>
      <c r="B227" s="11">
        <f>[1]CH4!$S226</f>
        <v>722.43499999999995</v>
      </c>
      <c r="C227" s="10">
        <f>[1]CO2!$D227</f>
        <v>1549.65</v>
      </c>
      <c r="D227" s="11">
        <f>[1]CO2!$S227</f>
        <v>283.52300000000002</v>
      </c>
    </row>
    <row r="228" spans="1:4" x14ac:dyDescent="0.3">
      <c r="A228" s="10">
        <f>[1]CH4!$D227</f>
        <v>1550.65</v>
      </c>
      <c r="B228" s="11">
        <f>[1]CH4!$S227</f>
        <v>711.38599999999997</v>
      </c>
      <c r="C228" s="10">
        <f>[1]CO2!$D228</f>
        <v>1529.68</v>
      </c>
      <c r="D228" s="11">
        <f>[1]CO2!$S228</f>
        <v>283.846</v>
      </c>
    </row>
    <row r="229" spans="1:4" x14ac:dyDescent="0.3">
      <c r="A229" s="10">
        <f>[1]CH4!$D228</f>
        <v>1549.34</v>
      </c>
      <c r="B229" s="11">
        <f>[1]CH4!$S228</f>
        <v>707.245</v>
      </c>
      <c r="C229" s="10">
        <f>[1]CO2!$D229</f>
        <v>1501.53</v>
      </c>
      <c r="D229" s="11">
        <f>[1]CO2!$S229</f>
        <v>283.11900000000003</v>
      </c>
    </row>
    <row r="230" spans="1:4" x14ac:dyDescent="0.3">
      <c r="A230" s="10">
        <f>[1]CH4!$D229</f>
        <v>1533.22</v>
      </c>
      <c r="B230" s="11">
        <f>[1]CH4!$S229</f>
        <v>700.44399999999996</v>
      </c>
      <c r="C230" s="10">
        <f>[1]CO2!$D230</f>
        <v>1469.4</v>
      </c>
      <c r="D230" s="11">
        <f>[1]CO2!$S230</f>
        <v>280.20499999999998</v>
      </c>
    </row>
    <row r="231" spans="1:4" x14ac:dyDescent="0.3">
      <c r="A231" s="10">
        <f>[1]CH4!$D230</f>
        <v>1530.68</v>
      </c>
      <c r="B231" s="11">
        <f>[1]CH4!$S230</f>
        <v>706.59199999999998</v>
      </c>
      <c r="C231" s="10">
        <f>[1]CO2!$D231</f>
        <v>1449.16</v>
      </c>
      <c r="D231" s="11">
        <f>[1]CO2!$S231</f>
        <v>282.37099999999998</v>
      </c>
    </row>
    <row r="232" spans="1:4" x14ac:dyDescent="0.3">
      <c r="A232" s="10">
        <f>[1]CH4!$D231</f>
        <v>1502.53</v>
      </c>
      <c r="B232" s="11">
        <f>[1]CH4!$S231</f>
        <v>699.92700000000002</v>
      </c>
      <c r="C232" s="10">
        <f>[1]CO2!$D232</f>
        <v>1428.8</v>
      </c>
      <c r="D232" s="11">
        <f>[1]CO2!$S232</f>
        <v>279.86099999999999</v>
      </c>
    </row>
    <row r="233" spans="1:4" x14ac:dyDescent="0.3">
      <c r="A233" s="10">
        <f>[1]CH4!$D232</f>
        <v>1470.4</v>
      </c>
      <c r="B233" s="11">
        <f>[1]CH4!$S232</f>
        <v>678.55799999999999</v>
      </c>
      <c r="C233" s="10">
        <f>[1]CO2!$D233</f>
        <v>1410.86</v>
      </c>
      <c r="D233" s="11">
        <f>[1]CO2!$S233</f>
        <v>279.82900000000001</v>
      </c>
    </row>
    <row r="234" spans="1:4" x14ac:dyDescent="0.3">
      <c r="A234" s="10">
        <f>[1]CH4!$D233</f>
        <v>1450.16</v>
      </c>
      <c r="B234" s="11">
        <f>[1]CH4!$S233</f>
        <v>693.14400000000001</v>
      </c>
      <c r="C234" s="10">
        <f>[1]CO2!$D234</f>
        <v>1390.33</v>
      </c>
      <c r="D234" s="11">
        <f>[1]CO2!$S234</f>
        <v>280.68599999999998</v>
      </c>
    </row>
    <row r="235" spans="1:4" x14ac:dyDescent="0.3">
      <c r="A235" s="10">
        <f>[1]CH4!$D234</f>
        <v>1430.63</v>
      </c>
      <c r="B235" s="11">
        <f>[1]CH4!$S234</f>
        <v>679.15300000000002</v>
      </c>
      <c r="C235" s="10">
        <f>[1]CO2!$D235</f>
        <v>1390.33</v>
      </c>
      <c r="D235" s="11">
        <f>[1]CO2!$S235</f>
        <v>281.12700000000001</v>
      </c>
    </row>
    <row r="236" spans="1:4" x14ac:dyDescent="0.3">
      <c r="A236" s="10">
        <f>[1]CH4!$D235</f>
        <v>1429.8</v>
      </c>
      <c r="B236" s="11">
        <f>[1]CH4!$S235</f>
        <v>704.50199999999995</v>
      </c>
      <c r="C236" s="10">
        <f>[1]CO2!$D236</f>
        <v>1348.85</v>
      </c>
      <c r="D236" s="11">
        <f>[1]CO2!$S236</f>
        <v>278.50099999999998</v>
      </c>
    </row>
    <row r="237" spans="1:4" x14ac:dyDescent="0.3">
      <c r="A237" s="10">
        <f>[1]CH4!$D236</f>
        <v>1411.86</v>
      </c>
      <c r="B237" s="11">
        <f>[1]CH4!$S236</f>
        <v>673.20399999999995</v>
      </c>
      <c r="C237" s="10">
        <f>[1]CO2!$D237</f>
        <v>1330.12</v>
      </c>
      <c r="D237" s="11">
        <f>[1]CO2!$S237</f>
        <v>283.96600000000001</v>
      </c>
    </row>
    <row r="238" spans="1:4" x14ac:dyDescent="0.3">
      <c r="A238" s="10">
        <f>[1]CH4!$D237</f>
        <v>1391.33</v>
      </c>
      <c r="B238" s="11">
        <f>[1]CH4!$S237</f>
        <v>681.26400000000001</v>
      </c>
      <c r="C238" s="10">
        <f>[1]CO2!$D238</f>
        <v>1307.45</v>
      </c>
      <c r="D238" s="11">
        <f>[1]CO2!$S238</f>
        <v>281.71100000000001</v>
      </c>
    </row>
    <row r="239" spans="1:4" x14ac:dyDescent="0.3">
      <c r="A239" s="10">
        <f>[1]CH4!$D238</f>
        <v>1391.33</v>
      </c>
      <c r="B239" s="11">
        <f>[1]CH4!$S238</f>
        <v>685.66200000000003</v>
      </c>
      <c r="C239" s="10">
        <f>[1]CO2!$D239</f>
        <v>1278.2</v>
      </c>
      <c r="D239" s="11">
        <f>[1]CO2!$S239</f>
        <v>278.57100000000003</v>
      </c>
    </row>
    <row r="240" spans="1:4" x14ac:dyDescent="0.3">
      <c r="A240" s="10">
        <f>[1]CH4!$D239</f>
        <v>1360.22</v>
      </c>
      <c r="B240" s="11">
        <f>[1]CH4!$S239</f>
        <v>676.59100000000001</v>
      </c>
      <c r="C240" s="10">
        <f>[1]CO2!$D240</f>
        <v>1259.51</v>
      </c>
      <c r="D240" s="11">
        <f>[1]CO2!$S240</f>
        <v>282.33199999999999</v>
      </c>
    </row>
    <row r="241" spans="1:4" x14ac:dyDescent="0.3">
      <c r="A241" s="10">
        <f>[1]CH4!$D240</f>
        <v>1353.94</v>
      </c>
      <c r="B241" s="11">
        <f>[1]CH4!$S240</f>
        <v>670.21900000000005</v>
      </c>
      <c r="C241" s="10">
        <f>[1]CO2!$D241</f>
        <v>1251.27</v>
      </c>
      <c r="D241" s="11">
        <f>[1]CO2!$S241</f>
        <v>282.30900000000003</v>
      </c>
    </row>
    <row r="242" spans="1:4" x14ac:dyDescent="0.3">
      <c r="A242" s="10">
        <f>[1]CH4!$D241</f>
        <v>1349.85</v>
      </c>
      <c r="B242" s="11">
        <f>[1]CH4!$S241</f>
        <v>676.55</v>
      </c>
      <c r="C242" s="10">
        <f>[1]CO2!$D242</f>
        <v>1210.96</v>
      </c>
      <c r="D242" s="11">
        <f>[1]CO2!$S242</f>
        <v>283.82100000000003</v>
      </c>
    </row>
    <row r="243" spans="1:4" x14ac:dyDescent="0.3">
      <c r="A243" s="10">
        <f>[1]CH4!$D242</f>
        <v>1331.12</v>
      </c>
      <c r="B243" s="11">
        <f>[1]CH4!$S242</f>
        <v>680.06899999999996</v>
      </c>
      <c r="C243" s="10">
        <f>[1]CO2!$D243</f>
        <v>1199.81</v>
      </c>
      <c r="D243" s="11">
        <f>[1]CO2!$S243</f>
        <v>284.43900000000002</v>
      </c>
    </row>
    <row r="244" spans="1:4" x14ac:dyDescent="0.3">
      <c r="A244" s="10">
        <f>[1]CH4!$D243</f>
        <v>1308.45</v>
      </c>
      <c r="B244" s="11">
        <f>[1]CH4!$S243</f>
        <v>697.53399999999999</v>
      </c>
      <c r="C244" s="10">
        <f>[1]CO2!$D244</f>
        <v>1165.98</v>
      </c>
      <c r="D244" s="11">
        <f>[1]CO2!$S244</f>
        <v>284.09899999999999</v>
      </c>
    </row>
    <row r="245" spans="1:4" x14ac:dyDescent="0.3">
      <c r="A245" s="10">
        <f>[1]CH4!$D244</f>
        <v>1279.2</v>
      </c>
      <c r="B245" s="11">
        <f>[1]CH4!$S244</f>
        <v>694.45299999999997</v>
      </c>
      <c r="C245" s="10">
        <f>[1]CO2!$D245</f>
        <v>1146.29</v>
      </c>
      <c r="D245" s="11">
        <f>[1]CO2!$S245</f>
        <v>284.40899999999999</v>
      </c>
    </row>
    <row r="246" spans="1:4" x14ac:dyDescent="0.3">
      <c r="A246" s="10">
        <f>[1]CH4!$D245</f>
        <v>1260.51</v>
      </c>
      <c r="B246" s="11">
        <f>[1]CH4!$S245</f>
        <v>677.846</v>
      </c>
      <c r="C246" s="10">
        <f>[1]CO2!$D246</f>
        <v>1115.94</v>
      </c>
      <c r="D246" s="11">
        <f>[1]CO2!$S246</f>
        <v>282.97399999999999</v>
      </c>
    </row>
    <row r="247" spans="1:4" x14ac:dyDescent="0.3">
      <c r="A247" s="10">
        <f>[1]CH4!$D246</f>
        <v>1256.6400000000001</v>
      </c>
      <c r="B247" s="11">
        <f>[1]CH4!$S246</f>
        <v>666.86400000000003</v>
      </c>
      <c r="C247" s="10">
        <f>[1]CO2!$D247</f>
        <v>1099.4100000000001</v>
      </c>
      <c r="D247" s="11">
        <f>[1]CO2!$S247</f>
        <v>282.99200000000002</v>
      </c>
    </row>
    <row r="248" spans="1:4" x14ac:dyDescent="0.3">
      <c r="A248" s="10">
        <f>[1]CH4!$D247</f>
        <v>1252.27</v>
      </c>
      <c r="B248" s="11">
        <f>[1]CH4!$S247</f>
        <v>667.899</v>
      </c>
      <c r="C248" s="10">
        <f>[1]CO2!$D248</f>
        <v>1070.2</v>
      </c>
      <c r="D248" s="11">
        <f>[1]CO2!$S248</f>
        <v>282.97699999999998</v>
      </c>
    </row>
    <row r="249" spans="1:4" x14ac:dyDescent="0.3">
      <c r="A249" s="10">
        <f>[1]CH4!$D248</f>
        <v>1200.81</v>
      </c>
      <c r="B249" s="11">
        <f>[1]CH4!$S248</f>
        <v>691.02800000000002</v>
      </c>
      <c r="C249" s="10">
        <f>[1]CO2!$D249</f>
        <v>1049.18</v>
      </c>
      <c r="D249" s="11">
        <f>[1]CO2!$S249</f>
        <v>280.95999999999998</v>
      </c>
    </row>
    <row r="250" spans="1:4" x14ac:dyDescent="0.3">
      <c r="A250" s="10">
        <f>[1]CH4!$D249</f>
        <v>1166.98</v>
      </c>
      <c r="B250" s="11">
        <f>[1]CH4!$S249</f>
        <v>697.29300000000001</v>
      </c>
      <c r="C250" s="10">
        <f>[1]CO2!$D250</f>
        <v>1040.08</v>
      </c>
      <c r="D250" s="11">
        <f>[1]CO2!$S250</f>
        <v>281.04899999999998</v>
      </c>
    </row>
    <row r="251" spans="1:4" x14ac:dyDescent="0.3">
      <c r="A251" s="10">
        <f>[1]CH4!$D250</f>
        <v>1147.29</v>
      </c>
      <c r="B251" s="11">
        <f>[1]CH4!$S250</f>
        <v>693.20299999999997</v>
      </c>
      <c r="C251" s="10">
        <f>[1]CO2!$D251</f>
        <v>1019.27</v>
      </c>
      <c r="D251" s="11">
        <f>[1]CO2!$S251</f>
        <v>279.95800000000003</v>
      </c>
    </row>
    <row r="252" spans="1:4" x14ac:dyDescent="0.3">
      <c r="A252" s="10">
        <f>[1]CH4!$D251</f>
        <v>1116.94</v>
      </c>
      <c r="B252" s="11">
        <f>[1]CH4!$S251</f>
        <v>684.43600000000004</v>
      </c>
      <c r="C252" s="10">
        <f>[1]CO2!$D252</f>
        <v>1017.58</v>
      </c>
      <c r="D252" s="11">
        <f>[1]CO2!$S252</f>
        <v>279.90699999999998</v>
      </c>
    </row>
    <row r="253" spans="1:4" x14ac:dyDescent="0.3">
      <c r="A253" s="10">
        <f>[1]CH4!$D252</f>
        <v>1072.67</v>
      </c>
      <c r="B253" s="11">
        <f>[1]CH4!$S252</f>
        <v>661.71199999999999</v>
      </c>
      <c r="C253" s="10">
        <f>[1]CO2!$D253</f>
        <v>982.65</v>
      </c>
      <c r="D253" s="11">
        <f>[1]CO2!$S253</f>
        <v>278.87200000000001</v>
      </c>
    </row>
    <row r="254" spans="1:4" x14ac:dyDescent="0.3">
      <c r="A254" s="10">
        <f>[1]CH4!$D253</f>
        <v>1071.2</v>
      </c>
      <c r="B254" s="11">
        <f>[1]CH4!$S253</f>
        <v>670.01800000000003</v>
      </c>
      <c r="C254" s="10">
        <f>[1]CO2!$D254</f>
        <v>957.65</v>
      </c>
      <c r="D254" s="11">
        <f>[1]CO2!$S254</f>
        <v>277.54599999999999</v>
      </c>
    </row>
    <row r="255" spans="1:4" x14ac:dyDescent="0.3">
      <c r="A255" s="10">
        <f>[1]CH4!$D254</f>
        <v>1060.6400000000001</v>
      </c>
      <c r="B255" s="11">
        <f>[1]CH4!$S254</f>
        <v>681.33900000000006</v>
      </c>
      <c r="C255" s="10">
        <f>[1]CO2!$D255</f>
        <v>914.45</v>
      </c>
      <c r="D255" s="11">
        <f>[1]CO2!$S255</f>
        <v>280.154</v>
      </c>
    </row>
    <row r="256" spans="1:4" x14ac:dyDescent="0.3">
      <c r="A256" s="10">
        <f>[1]CH4!$D255</f>
        <v>1050.18</v>
      </c>
      <c r="B256" s="11">
        <f>[1]CH4!$S255</f>
        <v>684.69299999999998</v>
      </c>
      <c r="C256" s="10">
        <f>[1]CO2!$D256</f>
        <v>875.41</v>
      </c>
      <c r="D256" s="11">
        <f>[1]CO2!$S256</f>
        <v>279.553</v>
      </c>
    </row>
    <row r="257" spans="1:4" x14ac:dyDescent="0.3">
      <c r="A257" s="10">
        <f>[1]CH4!$D256</f>
        <v>1041.08</v>
      </c>
      <c r="B257" s="11">
        <f>[1]CH4!$S256</f>
        <v>688.56899999999996</v>
      </c>
      <c r="C257" s="10">
        <f>[1]CO2!$D257</f>
        <v>822.33</v>
      </c>
      <c r="D257" s="11">
        <f>[1]CO2!$S257</f>
        <v>278.755</v>
      </c>
    </row>
    <row r="258" spans="1:4" x14ac:dyDescent="0.3">
      <c r="A258" s="10">
        <f>[1]CH4!$D257</f>
        <v>983.65</v>
      </c>
      <c r="B258" s="11">
        <f>[1]CH4!$S257</f>
        <v>662.38</v>
      </c>
      <c r="C258" s="10">
        <f>[1]CO2!$D258</f>
        <v>793.1</v>
      </c>
      <c r="D258" s="11">
        <f>[1]CO2!$S258</f>
        <v>279.774</v>
      </c>
    </row>
    <row r="259" spans="1:4" x14ac:dyDescent="0.3">
      <c r="A259" s="10">
        <f>[1]CH4!$D258</f>
        <v>958.65</v>
      </c>
      <c r="B259" s="11">
        <f>[1]CH4!$S258</f>
        <v>655.23699999999997</v>
      </c>
      <c r="C259" s="10">
        <f>[1]CO2!$D259</f>
        <v>762.3</v>
      </c>
      <c r="D259" s="11">
        <f>[1]CO2!$S259</f>
        <v>279.34199999999998</v>
      </c>
    </row>
    <row r="260" spans="1:4" x14ac:dyDescent="0.3">
      <c r="A260" s="10">
        <f>[1]CH4!$D259</f>
        <v>915.45</v>
      </c>
      <c r="B260" s="11">
        <f>[1]CH4!$S259</f>
        <v>656.08799999999997</v>
      </c>
      <c r="C260" s="10">
        <f>[1]CO2!$D260</f>
        <v>730.43</v>
      </c>
      <c r="D260" s="11">
        <f>[1]CO2!$S260</f>
        <v>280.12799999999999</v>
      </c>
    </row>
    <row r="261" spans="1:4" x14ac:dyDescent="0.3">
      <c r="A261" s="10">
        <f>[1]CH4!$D260</f>
        <v>876.41</v>
      </c>
      <c r="B261" s="11">
        <f>[1]CH4!$S260</f>
        <v>665.65899999999999</v>
      </c>
      <c r="C261" s="10">
        <f>[1]CO2!$D261</f>
        <v>701.25</v>
      </c>
      <c r="D261" s="11">
        <f>[1]CO2!$S261</f>
        <v>277.23700000000002</v>
      </c>
    </row>
    <row r="262" spans="1:4" x14ac:dyDescent="0.3">
      <c r="A262" s="10">
        <f>[1]CH4!$D261</f>
        <v>823.33</v>
      </c>
      <c r="B262" s="11">
        <f>[1]CH4!$S261</f>
        <v>650.77300000000002</v>
      </c>
      <c r="C262" s="10">
        <f>[1]CO2!$D262</f>
        <v>669.18</v>
      </c>
      <c r="D262" s="11">
        <f>[1]CO2!$S262</f>
        <v>278.59300000000002</v>
      </c>
    </row>
    <row r="263" spans="1:4" x14ac:dyDescent="0.3">
      <c r="A263" s="10">
        <f>[1]CH4!$D262</f>
        <v>763.3</v>
      </c>
      <c r="B263" s="11">
        <f>[1]CH4!$S262</f>
        <v>658.16600000000005</v>
      </c>
      <c r="C263" s="10">
        <f>[1]CO2!$D263</f>
        <v>637</v>
      </c>
      <c r="D263" s="11">
        <f>[1]CO2!$S263</f>
        <v>279.726</v>
      </c>
    </row>
    <row r="264" spans="1:4" x14ac:dyDescent="0.3">
      <c r="A264" s="10">
        <f>[1]CH4!$D263</f>
        <v>731.43</v>
      </c>
      <c r="B264" s="11">
        <f>[1]CH4!$S263</f>
        <v>658.82100000000003</v>
      </c>
      <c r="C264" s="10">
        <f>[1]CO2!$D264</f>
        <v>614.52</v>
      </c>
      <c r="D264" s="11">
        <f>[1]CO2!$S264</f>
        <v>278.00700000000001</v>
      </c>
    </row>
    <row r="265" spans="1:4" x14ac:dyDescent="0.3">
      <c r="A265" s="10">
        <f>[1]CH4!$D264</f>
        <v>702.25</v>
      </c>
      <c r="B265" s="11">
        <f>[1]CH4!$S264</f>
        <v>651.05100000000004</v>
      </c>
      <c r="C265" s="10">
        <f>[1]CO2!$D265</f>
        <v>582.41</v>
      </c>
      <c r="D265" s="11">
        <f>[1]CO2!$S265</f>
        <v>276.334</v>
      </c>
    </row>
    <row r="266" spans="1:4" x14ac:dyDescent="0.3">
      <c r="A266" s="10">
        <f>[1]CH4!$D265</f>
        <v>670.18</v>
      </c>
      <c r="B266" s="11">
        <f>[1]CH4!$S265</f>
        <v>642.52700000000004</v>
      </c>
      <c r="C266" s="10">
        <f>[1]CO2!$D266</f>
        <v>557.47</v>
      </c>
      <c r="D266" s="11">
        <f>[1]CO2!$S266</f>
        <v>278.46199999999999</v>
      </c>
    </row>
    <row r="267" spans="1:4" x14ac:dyDescent="0.3">
      <c r="A267" s="10">
        <f>[1]CH4!$D266</f>
        <v>638</v>
      </c>
      <c r="B267" s="11">
        <f>[1]CH4!$S266</f>
        <v>654.38900000000001</v>
      </c>
      <c r="C267" s="10">
        <f>[1]CO2!$D267</f>
        <v>551.62</v>
      </c>
      <c r="D267" s="11">
        <f>[1]CO2!$S267</f>
        <v>276.697</v>
      </c>
    </row>
    <row r="268" spans="1:4" x14ac:dyDescent="0.3">
      <c r="A268" s="10">
        <f>[1]CH4!$D267</f>
        <v>615.52</v>
      </c>
      <c r="B268" s="11">
        <f>[1]CH4!$S267</f>
        <v>661.19600000000003</v>
      </c>
      <c r="C268" s="10">
        <f>[1]CO2!$D268</f>
        <v>517.96</v>
      </c>
      <c r="D268" s="11">
        <f>[1]CO2!$S268</f>
        <v>276.92099999999999</v>
      </c>
    </row>
    <row r="269" spans="1:4" x14ac:dyDescent="0.3">
      <c r="A269" s="10">
        <f>[1]CH4!$D268</f>
        <v>583.41</v>
      </c>
      <c r="B269" s="11">
        <f>[1]CH4!$S268</f>
        <v>666.56100000000004</v>
      </c>
      <c r="C269" s="10">
        <f>[1]CO2!$D269</f>
        <v>488.43</v>
      </c>
      <c r="D269" s="11">
        <f>[1]CO2!$S269</f>
        <v>277.24299999999999</v>
      </c>
    </row>
    <row r="270" spans="1:4" x14ac:dyDescent="0.3">
      <c r="A270" s="10">
        <f>[1]CH4!$D269</f>
        <v>558.47</v>
      </c>
      <c r="B270" s="11">
        <f>[1]CH4!$S269</f>
        <v>660.89099999999996</v>
      </c>
      <c r="C270" s="10">
        <f>[1]CO2!$D270</f>
        <v>436.94</v>
      </c>
      <c r="D270" s="11">
        <f>[1]CO2!$S270</f>
        <v>280.13799999999998</v>
      </c>
    </row>
    <row r="271" spans="1:4" x14ac:dyDescent="0.3">
      <c r="A271" s="10">
        <f>[1]CH4!$D270</f>
        <v>552.62</v>
      </c>
      <c r="B271" s="11">
        <f>[1]CH4!$S270</f>
        <v>669.01700000000005</v>
      </c>
      <c r="C271" s="10">
        <f>[1]CO2!$D271</f>
        <v>406.36</v>
      </c>
      <c r="D271" s="11">
        <f>[1]CO2!$S271</f>
        <v>279.26299999999998</v>
      </c>
    </row>
    <row r="272" spans="1:4" x14ac:dyDescent="0.3">
      <c r="A272" s="10">
        <f>[1]CH4!$D271</f>
        <v>518.96</v>
      </c>
      <c r="B272" s="11">
        <f>[1]CH4!$S271</f>
        <v>647.43299999999999</v>
      </c>
      <c r="C272" s="10">
        <f>[1]CO2!$D272</f>
        <v>384.23</v>
      </c>
      <c r="D272" s="11">
        <f>[1]CO2!$S272</f>
        <v>277.38499999999999</v>
      </c>
    </row>
    <row r="273" spans="1:4" x14ac:dyDescent="0.3">
      <c r="A273" s="10">
        <f>[1]CH4!$D272</f>
        <v>489.43</v>
      </c>
      <c r="B273" s="11">
        <f>[1]CH4!$S272</f>
        <v>645.221</v>
      </c>
      <c r="C273" s="10">
        <f>[1]CO2!$D273</f>
        <v>357.33</v>
      </c>
      <c r="D273" s="11">
        <f>[1]CO2!$S273</f>
        <v>277.93299999999999</v>
      </c>
    </row>
    <row r="274" spans="1:4" x14ac:dyDescent="0.3">
      <c r="A274" s="10">
        <f>[1]CH4!$D273</f>
        <v>437.94</v>
      </c>
      <c r="B274" s="11">
        <f>[1]CH4!$S273</f>
        <v>629.53</v>
      </c>
      <c r="C274" s="10">
        <f>[1]CO2!$D274</f>
        <v>317.55</v>
      </c>
      <c r="D274" s="11">
        <f>[1]CO2!$S274</f>
        <v>281.83</v>
      </c>
    </row>
    <row r="275" spans="1:4" x14ac:dyDescent="0.3">
      <c r="A275" s="10">
        <f>[1]CH4!$D274</f>
        <v>385.23</v>
      </c>
      <c r="B275" s="11">
        <f>[1]CH4!$S274</f>
        <v>632.93799999999999</v>
      </c>
      <c r="C275" s="10">
        <f>[1]CO2!$D275</f>
        <v>295.60000000000002</v>
      </c>
      <c r="D275" s="11">
        <f>[1]CO2!$S275</f>
        <v>281.04399999999998</v>
      </c>
    </row>
    <row r="276" spans="1:4" x14ac:dyDescent="0.3">
      <c r="A276" s="10">
        <f>[1]CH4!$D275</f>
        <v>358.33</v>
      </c>
      <c r="B276" s="11">
        <f>[1]CH4!$S275</f>
        <v>652.65700000000004</v>
      </c>
      <c r="C276" s="10">
        <f>[1]CO2!$D276</f>
        <v>274.44</v>
      </c>
      <c r="D276" s="11">
        <f>[1]CO2!$S276</f>
        <v>280.24299999999999</v>
      </c>
    </row>
    <row r="277" spans="1:4" x14ac:dyDescent="0.3">
      <c r="A277" s="10">
        <f>[1]CH4!$D276</f>
        <v>318.55</v>
      </c>
      <c r="B277" s="11">
        <f>[1]CH4!$S276</f>
        <v>640.93600000000004</v>
      </c>
      <c r="C277" s="10">
        <f>[1]CO2!$D277</f>
        <v>266.10000000000002</v>
      </c>
      <c r="D277" s="11">
        <f>[1]CO2!$S277</f>
        <v>278.44900000000001</v>
      </c>
    </row>
    <row r="278" spans="1:4" x14ac:dyDescent="0.3">
      <c r="A278" s="10">
        <f>[1]CH4!$D277</f>
        <v>296.60000000000002</v>
      </c>
      <c r="B278" s="11">
        <f>[1]CH4!$S277</f>
        <v>648.93700000000001</v>
      </c>
      <c r="C278" s="10">
        <f>[1]CO2!$D278</f>
        <v>240.6</v>
      </c>
      <c r="D278" s="11">
        <f>[1]CO2!$S278</f>
        <v>280.38400000000001</v>
      </c>
    </row>
    <row r="279" spans="1:4" x14ac:dyDescent="0.3">
      <c r="A279" s="10">
        <f>[1]CH4!$D278</f>
        <v>275.44</v>
      </c>
      <c r="B279" s="11">
        <f>[1]CH4!$S278</f>
        <v>645.47900000000004</v>
      </c>
      <c r="C279" s="10">
        <f>[1]CO2!$D279</f>
        <v>174.53</v>
      </c>
      <c r="D279" s="11">
        <f>[1]CO2!$S279</f>
        <v>277.69</v>
      </c>
    </row>
    <row r="280" spans="1:4" x14ac:dyDescent="0.3">
      <c r="A280" s="10">
        <f>[1]CH4!$D279</f>
        <v>267.10000000000002</v>
      </c>
      <c r="B280" s="11">
        <f>[1]CH4!$S279</f>
        <v>649.06399999999996</v>
      </c>
      <c r="C280" s="10">
        <f>[1]CO2!$D280</f>
        <v>153.53</v>
      </c>
      <c r="D280" s="11">
        <f>[1]CO2!$S280</f>
        <v>278.20699999999999</v>
      </c>
    </row>
    <row r="281" spans="1:4" x14ac:dyDescent="0.3">
      <c r="A281" s="10">
        <f>[1]CH4!$D280</f>
        <v>241.6</v>
      </c>
      <c r="B281" s="11">
        <f>[1]CH4!$S280</f>
        <v>646.96699999999998</v>
      </c>
      <c r="C281" s="10">
        <f>[1]CO2!$D281</f>
        <v>1957.8</v>
      </c>
      <c r="D281" s="11">
        <f>[1]CO2!$S281</f>
        <v>314.20600000000002</v>
      </c>
    </row>
    <row r="282" spans="1:4" x14ac:dyDescent="0.3">
      <c r="A282" s="10">
        <f>[1]CH4!$D281</f>
        <v>175.53</v>
      </c>
      <c r="B282" s="11">
        <f>[1]CH4!$S281</f>
        <v>636.47900000000004</v>
      </c>
      <c r="C282" s="10">
        <f>[1]CO2!$D282</f>
        <v>1939.1</v>
      </c>
      <c r="D282" s="11">
        <f>[1]CO2!$S282</f>
        <v>306.72699999999998</v>
      </c>
    </row>
    <row r="283" spans="1:4" x14ac:dyDescent="0.3">
      <c r="A283" s="10">
        <f>[1]CH4!$D282</f>
        <v>168.9</v>
      </c>
      <c r="B283" s="11">
        <f>[1]CH4!$S282</f>
        <v>634.39800000000002</v>
      </c>
      <c r="C283" s="10">
        <f>[1]CO2!$D283</f>
        <v>1907.2</v>
      </c>
      <c r="D283" s="11">
        <f>[1]CO2!$S283</f>
        <v>295.44200000000001</v>
      </c>
    </row>
    <row r="284" spans="1:4" x14ac:dyDescent="0.3">
      <c r="A284" s="10">
        <f>[1]CH4!$D283</f>
        <v>154.53</v>
      </c>
      <c r="B284" s="11">
        <f>[1]CH4!$S283</f>
        <v>641.97</v>
      </c>
      <c r="C284" s="10">
        <f>[1]CO2!$D284</f>
        <v>1896.9</v>
      </c>
      <c r="D284" s="11">
        <f>[1]CO2!$S284</f>
        <v>297.32600000000002</v>
      </c>
    </row>
    <row r="285" spans="1:4" x14ac:dyDescent="0.3">
      <c r="A285" s="10">
        <f>[1]CH4!$D284</f>
        <v>1958.8</v>
      </c>
      <c r="B285" s="11">
        <f>[1]CH4!$S284</f>
        <v>1186.3330000000001</v>
      </c>
      <c r="C285" s="10">
        <f>[1]CO2!$D285</f>
        <v>1894.1</v>
      </c>
      <c r="D285" s="11">
        <f>[1]CO2!$S285</f>
        <v>291.89800000000002</v>
      </c>
    </row>
    <row r="286" spans="1:4" x14ac:dyDescent="0.3">
      <c r="A286" s="10">
        <f>[1]CH4!$D285</f>
        <v>1940.1</v>
      </c>
      <c r="B286" s="11">
        <f>[1]CH4!$S285</f>
        <v>1060.164</v>
      </c>
      <c r="C286" s="10">
        <f>[1]CO2!$D286</f>
        <v>1862.5</v>
      </c>
      <c r="D286" s="11">
        <f>[1]CO2!$S286</f>
        <v>282.97199999999998</v>
      </c>
    </row>
    <row r="287" spans="1:4" x14ac:dyDescent="0.3">
      <c r="A287" s="10">
        <f>[1]CH4!$D286</f>
        <v>1939.5</v>
      </c>
      <c r="B287" s="11">
        <f>[1]CH4!$S286</f>
        <v>1073.5329999999999</v>
      </c>
      <c r="C287" s="10">
        <f>[1]CO2!$D287</f>
        <v>1859.1</v>
      </c>
      <c r="D287" s="11">
        <f>[1]CO2!$S287</f>
        <v>284.86799999999999</v>
      </c>
    </row>
    <row r="288" spans="1:4" x14ac:dyDescent="0.3">
      <c r="A288" s="10">
        <f>[1]CH4!$D287</f>
        <v>1923.8</v>
      </c>
      <c r="B288" s="11">
        <f>[1]CH4!$S287</f>
        <v>980.74400000000003</v>
      </c>
      <c r="C288" s="10">
        <f>[1]CO2!$D288</f>
        <v>1855.2</v>
      </c>
      <c r="D288" s="11">
        <f>[1]CO2!$S288</f>
        <v>283.33199999999999</v>
      </c>
    </row>
    <row r="289" spans="1:4" x14ac:dyDescent="0.3">
      <c r="A289" s="10">
        <f>[1]CH4!$D288</f>
        <v>1919.7</v>
      </c>
      <c r="B289" s="11">
        <f>[1]CH4!$S288</f>
        <v>969.22</v>
      </c>
      <c r="C289" s="10">
        <f>[1]CO2!$D289</f>
        <v>1852.2</v>
      </c>
      <c r="D289" s="11">
        <f>[1]CO2!$S289</f>
        <v>283.976</v>
      </c>
    </row>
    <row r="290" spans="1:4" x14ac:dyDescent="0.3">
      <c r="A290" s="10">
        <f>[1]CH4!$D289</f>
        <v>1908.2</v>
      </c>
      <c r="B290" s="11">
        <f>[1]CH4!$S289</f>
        <v>897.09299999999996</v>
      </c>
      <c r="C290" s="10">
        <f>[1]CO2!$D290</f>
        <v>1847.7</v>
      </c>
      <c r="D290" s="11">
        <f>[1]CO2!$S290</f>
        <v>283.63400000000001</v>
      </c>
    </row>
    <row r="291" spans="1:4" x14ac:dyDescent="0.3">
      <c r="A291" s="10">
        <f>[1]CH4!$D290</f>
        <v>1907.5</v>
      </c>
      <c r="B291" s="11">
        <f>[1]CH4!$S290</f>
        <v>904.11300000000006</v>
      </c>
      <c r="C291" s="10">
        <f>[1]CO2!$D291</f>
        <v>1837.6</v>
      </c>
      <c r="D291" s="11">
        <f>[1]CO2!$S291</f>
        <v>282.613</v>
      </c>
    </row>
    <row r="292" spans="1:4" x14ac:dyDescent="0.3">
      <c r="A292" s="10">
        <f>[1]CH4!$D291</f>
        <v>1897.9</v>
      </c>
      <c r="B292" s="11">
        <f>[1]CH4!$S291</f>
        <v>855.52300000000002</v>
      </c>
      <c r="C292" s="10">
        <f>[1]CO2!$D292</f>
        <v>1825.5</v>
      </c>
      <c r="D292" s="11">
        <f>[1]CO2!$S292</f>
        <v>281.77699999999999</v>
      </c>
    </row>
    <row r="293" spans="1:4" x14ac:dyDescent="0.3">
      <c r="A293" s="10">
        <f>[1]CH4!$D292</f>
        <v>1863.5</v>
      </c>
      <c r="B293" s="11">
        <f>[1]CH4!$S292</f>
        <v>802.21</v>
      </c>
      <c r="C293" s="10">
        <f>[1]CO2!$D293</f>
        <v>1817.1</v>
      </c>
      <c r="D293" s="11">
        <f>[1]CO2!$S293</f>
        <v>280.88499999999999</v>
      </c>
    </row>
    <row r="294" spans="1:4" x14ac:dyDescent="0.3">
      <c r="A294" s="10">
        <f>[1]CH4!$D293</f>
        <v>1860.1</v>
      </c>
      <c r="B294" s="11">
        <f>[1]CH4!$S293</f>
        <v>788.03099999999995</v>
      </c>
      <c r="C294" s="10">
        <f>[1]CO2!$D294</f>
        <v>1810.2</v>
      </c>
      <c r="D294" s="11">
        <f>[1]CO2!$S294</f>
        <v>281.09899999999999</v>
      </c>
    </row>
    <row r="295" spans="1:4" x14ac:dyDescent="0.3">
      <c r="A295" s="10">
        <f>[1]CH4!$D294</f>
        <v>1856.2</v>
      </c>
      <c r="B295" s="11">
        <f>[1]CH4!$S294</f>
        <v>777.39200000000005</v>
      </c>
      <c r="C295" s="10">
        <f>[1]CO2!$D295</f>
        <v>1796</v>
      </c>
      <c r="D295" s="11">
        <f>[1]CO2!$S295</f>
        <v>279.33699999999999</v>
      </c>
    </row>
    <row r="296" spans="1:4" x14ac:dyDescent="0.3">
      <c r="A296" s="10">
        <f>[1]CH4!$D295</f>
        <v>1853.2</v>
      </c>
      <c r="B296" s="11">
        <f>[1]CH4!$S295</f>
        <v>778.22199999999998</v>
      </c>
      <c r="C296" s="10">
        <f>[1]CO2!$D296</f>
        <v>1775</v>
      </c>
      <c r="D296" s="11">
        <f>[1]CO2!$S296</f>
        <v>277.72699999999998</v>
      </c>
    </row>
    <row r="297" spans="1:4" x14ac:dyDescent="0.3">
      <c r="A297" s="10">
        <f>[1]CH4!$D296</f>
        <v>1848.7</v>
      </c>
      <c r="B297" s="11">
        <f>[1]CH4!$S296</f>
        <v>778.89599999999996</v>
      </c>
      <c r="C297" s="10">
        <f>[1]CO2!$D297</f>
        <v>1760</v>
      </c>
      <c r="D297" s="11">
        <f>[1]CO2!$S297</f>
        <v>276.62599999999998</v>
      </c>
    </row>
    <row r="298" spans="1:4" x14ac:dyDescent="0.3">
      <c r="A298" s="10">
        <f>[1]CH4!$D297</f>
        <v>1826.5</v>
      </c>
      <c r="B298" s="11">
        <f>[1]CH4!$S297</f>
        <v>764.35599999999999</v>
      </c>
      <c r="C298" s="10">
        <f>[1]CO2!$D298</f>
        <v>1746</v>
      </c>
      <c r="D298" s="11">
        <f>[1]CO2!$S298</f>
        <v>275.36799999999999</v>
      </c>
    </row>
    <row r="299" spans="1:4" x14ac:dyDescent="0.3">
      <c r="A299" s="10">
        <f>[1]CH4!$D298</f>
        <v>1822.2</v>
      </c>
      <c r="B299" s="11">
        <f>[1]CH4!$S298</f>
        <v>755.39700000000005</v>
      </c>
      <c r="C299" s="10">
        <f>[1]CO2!$D299</f>
        <v>1719</v>
      </c>
      <c r="D299" s="11">
        <f>[1]CO2!$S299</f>
        <v>276.39800000000002</v>
      </c>
    </row>
    <row r="300" spans="1:4" x14ac:dyDescent="0.3">
      <c r="A300" s="10">
        <f>[1]CH4!$D299</f>
        <v>1820.3</v>
      </c>
      <c r="B300" s="11">
        <f>[1]CH4!$S299</f>
        <v>755.529</v>
      </c>
      <c r="C300" s="10">
        <f>[1]CO2!$D300</f>
        <v>1710</v>
      </c>
      <c r="D300" s="11">
        <f>[1]CO2!$S300</f>
        <v>276.29399999999998</v>
      </c>
    </row>
    <row r="301" spans="1:4" x14ac:dyDescent="0.3">
      <c r="A301" s="10">
        <f>[1]CH4!$D300</f>
        <v>1814.6</v>
      </c>
      <c r="B301" s="11">
        <f>[1]CH4!$S300</f>
        <v>736.74800000000005</v>
      </c>
      <c r="C301" s="10">
        <f>[1]CO2!$D301</f>
        <v>1703</v>
      </c>
      <c r="D301" s="11">
        <f>[1]CO2!$S301</f>
        <v>275.04399999999998</v>
      </c>
    </row>
    <row r="302" spans="1:4" x14ac:dyDescent="0.3">
      <c r="A302" s="10">
        <f>[1]CH4!$D301</f>
        <v>1811.2</v>
      </c>
      <c r="B302" s="11">
        <f>[1]CH4!$S301</f>
        <v>746.32100000000003</v>
      </c>
      <c r="C302" s="12">
        <f>[1]CO2_firn!$AO3</f>
        <v>1996.332148</v>
      </c>
      <c r="D302" s="12">
        <f>[1]CO2_firn!$AP3</f>
        <v>359.86666666666662</v>
      </c>
    </row>
    <row r="303" spans="1:4" x14ac:dyDescent="0.3">
      <c r="A303" s="10">
        <f>[1]CH4!$D302</f>
        <v>1797</v>
      </c>
      <c r="B303" s="11">
        <f>[1]CH4!$S302</f>
        <v>730.99699999999996</v>
      </c>
      <c r="C303" s="12">
        <f>[1]CO2_firn!$AO4</f>
        <v>1994.6383269999999</v>
      </c>
      <c r="D303" s="12">
        <f>[1]CO2_firn!$AP4</f>
        <v>357.24</v>
      </c>
    </row>
    <row r="304" spans="1:4" x14ac:dyDescent="0.3">
      <c r="A304" s="10">
        <f>[1]CH4!$D303</f>
        <v>1761</v>
      </c>
      <c r="B304" s="11">
        <f>[1]CH4!$S303</f>
        <v>714.67200000000003</v>
      </c>
      <c r="C304" s="12">
        <f>[1]CO2_firn!$AO5</f>
        <v>1991.987044</v>
      </c>
      <c r="D304" s="12">
        <f>[1]CO2_firn!$AP5</f>
        <v>353.88499999999999</v>
      </c>
    </row>
    <row r="305" spans="1:4" x14ac:dyDescent="0.3">
      <c r="A305" s="10">
        <f>[1]CH4!$D304</f>
        <v>1747</v>
      </c>
      <c r="B305" s="11">
        <f>[1]CH4!$S304</f>
        <v>712.20600000000002</v>
      </c>
      <c r="C305" s="12">
        <f>[1]CO2_firn!$AO6</f>
        <v>1989.2668699999999</v>
      </c>
      <c r="D305" s="12">
        <f>[1]CO2_firn!$AP6</f>
        <v>349.92</v>
      </c>
    </row>
    <row r="306" spans="1:4" x14ac:dyDescent="0.3">
      <c r="A306" s="10">
        <f>[1]CH4!$D305</f>
        <v>1730</v>
      </c>
      <c r="B306" s="11">
        <f>[1]CH4!$S305</f>
        <v>702.68299999999999</v>
      </c>
      <c r="C306" s="12">
        <f>[1]CO2_firn!$AO7</f>
        <v>1983.2756710000001</v>
      </c>
      <c r="D306" s="12">
        <f>[1]CO2_firn!$AP7</f>
        <v>341.44499999999999</v>
      </c>
    </row>
    <row r="307" spans="1:4" x14ac:dyDescent="0.3">
      <c r="A307" s="10">
        <f>[1]CH4!$D306</f>
        <v>1720</v>
      </c>
      <c r="B307" s="11">
        <f>[1]CH4!$S306</f>
        <v>677.43700000000001</v>
      </c>
      <c r="C307" s="12">
        <f>[1]CO2_firn!$AO8</f>
        <v>1970.0564529999999</v>
      </c>
      <c r="D307" s="12">
        <f>[1]CO2_firn!$AP8</f>
        <v>325.0025</v>
      </c>
    </row>
    <row r="308" spans="1:4" x14ac:dyDescent="0.3">
      <c r="A308" s="10">
        <f>[1]CH4!$D307</f>
        <v>1711</v>
      </c>
      <c r="B308" s="11">
        <f>[1]CH4!$S307</f>
        <v>663.12900000000002</v>
      </c>
      <c r="C308" s="12">
        <f>[1]CO2_firn!$AO9</f>
        <v>1956.494731</v>
      </c>
      <c r="D308" s="12">
        <f>[1]CO2_firn!$AP9</f>
        <v>316.45249999999999</v>
      </c>
    </row>
    <row r="309" spans="1:4" x14ac:dyDescent="0.3">
      <c r="A309" s="10">
        <f>[1]CH4!$D308</f>
        <v>1704</v>
      </c>
      <c r="B309" s="11">
        <f>[1]CH4!$S308</f>
        <v>687.73099999999999</v>
      </c>
      <c r="C309" s="12">
        <f>[1]CO2_firn!$AO10</f>
        <v>1939.3447040000001</v>
      </c>
      <c r="D309" s="12">
        <f>[1]CO2_firn!$AP10</f>
        <v>312.40000000000003</v>
      </c>
    </row>
    <row r="310" spans="1:4" x14ac:dyDescent="0.3">
      <c r="A310" s="12">
        <f>[1]CH4_firn!$AO3</f>
        <v>1996.416649</v>
      </c>
      <c r="B310" s="12">
        <f>[1]CH4_firn!$AP3</f>
        <v>1707.3600000000001</v>
      </c>
      <c r="C310" s="13">
        <f>[1]CO2_firn!$CG3</f>
        <v>1993.08</v>
      </c>
      <c r="D310" s="13">
        <f>[1]CO2_firn!$CH3</f>
        <v>354.565</v>
      </c>
    </row>
    <row r="311" spans="1:4" x14ac:dyDescent="0.3">
      <c r="A311" s="12">
        <f>[1]CH4_firn!$AO4</f>
        <v>1994.6325999999999</v>
      </c>
      <c r="B311" s="12">
        <f>[1]CH4_firn!$AP4</f>
        <v>1696.0250000000001</v>
      </c>
      <c r="C311" s="13">
        <f>[1]CO2_firn!$CG4</f>
        <v>1991.956406</v>
      </c>
      <c r="D311" s="13">
        <f>[1]CO2_firn!$CH4</f>
        <v>352.61</v>
      </c>
    </row>
    <row r="312" spans="1:4" x14ac:dyDescent="0.3">
      <c r="A312" s="12">
        <f>[1]CH4_firn!$AO5</f>
        <v>1992.289908</v>
      </c>
      <c r="B312" s="12">
        <f>[1]CH4_firn!$AP5</f>
        <v>1682.4250000000002</v>
      </c>
      <c r="C312" s="13">
        <f>[1]CO2_firn!$CG5</f>
        <v>1991.343337</v>
      </c>
      <c r="D312" s="13">
        <f>[1]CO2_firn!$CH5</f>
        <v>352.02</v>
      </c>
    </row>
    <row r="313" spans="1:4" x14ac:dyDescent="0.3">
      <c r="A313" s="12">
        <f>[1]CH4_firn!$AO6</f>
        <v>1990.393088</v>
      </c>
      <c r="B313" s="12">
        <f>[1]CH4_firn!$AP6</f>
        <v>1663.1975000000002</v>
      </c>
      <c r="C313" s="13">
        <f>[1]CO2_firn!$CG6</f>
        <v>1990.762567</v>
      </c>
      <c r="D313" s="13">
        <f>[1]CO2_firn!$CH6</f>
        <v>351.34999999999997</v>
      </c>
    </row>
    <row r="314" spans="1:4" x14ac:dyDescent="0.3">
      <c r="A314" s="12">
        <f>[1]CH4_firn!$AO7</f>
        <v>1984.3944080000001</v>
      </c>
      <c r="B314" s="12">
        <f>[1]CH4_firn!$AP7</f>
        <v>1587.75</v>
      </c>
      <c r="C314" s="13">
        <f>[1]CO2_firn!$CG7</f>
        <v>1989.737568</v>
      </c>
      <c r="D314" s="13">
        <f>[1]CO2_firn!$CH7</f>
        <v>349.76</v>
      </c>
    </row>
    <row r="315" spans="1:4" x14ac:dyDescent="0.3">
      <c r="A315" s="12">
        <f>[1]CH4_firn!$AO8</f>
        <v>1971.4237029999999</v>
      </c>
      <c r="B315" s="12">
        <f>[1]CH4_firn!$AP8</f>
        <v>1368.8425000000002</v>
      </c>
      <c r="C315" s="13">
        <f>[1]CO2_firn!$CG8</f>
        <v>1988.8763329999999</v>
      </c>
      <c r="D315" s="13">
        <f>[1]CO2_firn!$CH8</f>
        <v>347.83</v>
      </c>
    </row>
    <row r="316" spans="1:4" x14ac:dyDescent="0.3">
      <c r="A316" s="12">
        <f>[1]CH4_firn!$AO9</f>
        <v>1958.379152</v>
      </c>
      <c r="B316" s="12">
        <f>[1]CH4_firn!$AP9</f>
        <v>1191.7860000000001</v>
      </c>
      <c r="C316" s="13">
        <f>[1]CO2_firn!$CG9</f>
        <v>1988.084852</v>
      </c>
      <c r="D316" s="13">
        <f>[1]CO2_firn!$CH9</f>
        <v>346.45</v>
      </c>
    </row>
    <row r="317" spans="1:4" x14ac:dyDescent="0.3">
      <c r="A317" s="12">
        <f>[1]CH4_firn!$AO10</f>
        <v>1943.500055</v>
      </c>
      <c r="B317" s="12">
        <f>[1]CH4_firn!$AP10</f>
        <v>1085.7985714285714</v>
      </c>
      <c r="C317" s="13">
        <f>[1]CO2_firn!$CG10</f>
        <v>1987.525351</v>
      </c>
      <c r="D317" s="13">
        <f>[1]CO2_firn!$CH10</f>
        <v>345.34249999999997</v>
      </c>
    </row>
    <row r="318" spans="1:4" x14ac:dyDescent="0.3">
      <c r="A318" s="13">
        <f>[1]CH4_firn!$CG3</f>
        <v>1993.08</v>
      </c>
      <c r="B318" s="13">
        <f>[1]CH4_firn!$CH3</f>
        <v>1674.0566666666666</v>
      </c>
      <c r="C318" s="13">
        <f>[1]CO2_firn!$CG11</f>
        <v>1987.1031149999999</v>
      </c>
      <c r="D318" s="13">
        <f>[1]CO2_firn!$CH11</f>
        <v>344.6</v>
      </c>
    </row>
    <row r="319" spans="1:4" x14ac:dyDescent="0.3">
      <c r="A319" s="13">
        <f>[1]CH4_firn!$CG4</f>
        <v>1991.7650839999999</v>
      </c>
      <c r="B319" s="13">
        <f>[1]CH4_firn!$CH4</f>
        <v>1677.79</v>
      </c>
      <c r="C319" s="13">
        <f>[1]CO2_firn!$CG12</f>
        <v>1986.7808439999999</v>
      </c>
      <c r="D319" s="13">
        <f>[1]CO2_firn!$CH12</f>
        <v>343.86666666666662</v>
      </c>
    </row>
    <row r="320" spans="1:4" x14ac:dyDescent="0.3">
      <c r="A320" s="13">
        <f>[1]CH4_firn!$CG5</f>
        <v>1991.178973</v>
      </c>
      <c r="B320" s="13">
        <f>[1]CH4_firn!$CH5</f>
        <v>1675.49</v>
      </c>
      <c r="C320" s="13">
        <f>[1]CO2_firn!$CG13</f>
        <v>1985.9733590000001</v>
      </c>
      <c r="D320" s="13">
        <f>[1]CO2_firn!$CH13</f>
        <v>342.66999999999996</v>
      </c>
    </row>
    <row r="321" spans="1:4" x14ac:dyDescent="0.3">
      <c r="A321" s="13">
        <f>[1]CH4_firn!$CG6</f>
        <v>1990.631392</v>
      </c>
      <c r="B321" s="13">
        <f>[1]CH4_firn!$CH6</f>
        <v>1670.573333333333</v>
      </c>
      <c r="C321" s="13">
        <f>[1]CO2_firn!$CG14</f>
        <v>1984.114536</v>
      </c>
      <c r="D321" s="13">
        <f>[1]CO2_firn!$CH14</f>
        <v>339.57499999999999</v>
      </c>
    </row>
    <row r="322" spans="1:4" x14ac:dyDescent="0.3">
      <c r="A322" s="13">
        <f>[1]CH4_firn!$CG7</f>
        <v>1989.634906</v>
      </c>
      <c r="B322" s="13">
        <f>[1]CH4_firn!$CH7</f>
        <v>1661.2066666666667</v>
      </c>
      <c r="C322" s="13">
        <f>[1]CO2_firn!$CG15</f>
        <v>1980.1335819999999</v>
      </c>
      <c r="D322" s="13">
        <f>[1]CO2_firn!$CH15</f>
        <v>335.47</v>
      </c>
    </row>
    <row r="323" spans="1:4" x14ac:dyDescent="0.3">
      <c r="A323" s="13">
        <f>[1]CH4_firn!$CG8</f>
        <v>1988.744788</v>
      </c>
      <c r="B323" s="13">
        <f>[1]CH4_firn!$CH8</f>
        <v>1645.87</v>
      </c>
      <c r="C323" s="13">
        <f>[1]CO2_firn!$CG16</f>
        <v>1977.001491</v>
      </c>
      <c r="D323" s="13">
        <f>[1]CO2_firn!$CH16</f>
        <v>332.61</v>
      </c>
    </row>
    <row r="324" spans="1:4" x14ac:dyDescent="0.3">
      <c r="A324" s="13">
        <f>[1]CH4_firn!$CG9</f>
        <v>1987.9053650000001</v>
      </c>
      <c r="B324" s="13">
        <f>[1]CH4_firn!$CH9</f>
        <v>1637.48</v>
      </c>
    </row>
    <row r="325" spans="1:4" x14ac:dyDescent="0.3">
      <c r="A325" s="13">
        <f>[1]CH4_firn!$CG10</f>
        <v>1987.3569480000001</v>
      </c>
      <c r="B325" s="13">
        <f>[1]CH4_firn!$CH10</f>
        <v>1630.1675</v>
      </c>
    </row>
    <row r="326" spans="1:4" x14ac:dyDescent="0.3">
      <c r="A326" s="13">
        <f>[1]CH4_firn!$CG11</f>
        <v>1986.9314099999999</v>
      </c>
      <c r="B326" s="13">
        <f>[1]CH4_firn!$CH11</f>
        <v>1625.2133333333331</v>
      </c>
    </row>
    <row r="327" spans="1:4" x14ac:dyDescent="0.3">
      <c r="A327" s="13">
        <f>[1]CH4_firn!$CG12</f>
        <v>1986.5763059999999</v>
      </c>
      <c r="B327" s="13">
        <f>[1]CH4_firn!$CH12</f>
        <v>1621.3066666666666</v>
      </c>
    </row>
    <row r="328" spans="1:4" x14ac:dyDescent="0.3">
      <c r="A328" s="13">
        <f>[1]CH4_firn!$CG13</f>
        <v>1985.864605</v>
      </c>
      <c r="B328" s="13">
        <f>[1]CH4_firn!$CH13</f>
        <v>1611.0033333333333</v>
      </c>
    </row>
    <row r="329" spans="1:4" x14ac:dyDescent="0.3">
      <c r="A329" s="13">
        <f>[1]CH4_firn!$CG14</f>
        <v>1984.1649500000001</v>
      </c>
      <c r="B329" s="13">
        <f>[1]CH4_firn!$CH14</f>
        <v>1582.9850000000001</v>
      </c>
    </row>
    <row r="330" spans="1:4" x14ac:dyDescent="0.3">
      <c r="A330" s="13">
        <f>[1]CH4_firn!$CG15</f>
        <v>1980.7456239999999</v>
      </c>
      <c r="B330" s="13">
        <f>[1]CH4_firn!$CH15</f>
        <v>1518.0866666666668</v>
      </c>
    </row>
    <row r="331" spans="1:4" x14ac:dyDescent="0.3">
      <c r="A331" s="13">
        <f>[1]CH4_firn!$CG16</f>
        <v>1977.1746129999999</v>
      </c>
      <c r="B331" s="13">
        <f>[1]CH4_firn!$CH16</f>
        <v>1479.15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k-cgo_CO2</vt:lpstr>
      <vt:lpstr>k-cgo_CH4</vt:lpstr>
      <vt:lpstr>k-cgo_N2O</vt:lpstr>
      <vt:lpstr>global_rf_CO2-e</vt:lpstr>
      <vt:lpstr>Antarctic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Derek, Nada (Environment, Aspendale)</dc:creator>
  <cp:lastModifiedBy>Loh, Zoe (Environment, Aspendale)</cp:lastModifiedBy>
  <dcterms:created xsi:type="dcterms:W3CDTF">2024-03-13T02:36:00Z</dcterms:created>
  <dcterms:modified xsi:type="dcterms:W3CDTF">2024-09-16T03:08:53Z</dcterms:modified>
</cp:coreProperties>
</file>